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ques" sheetId="1" state="visible" r:id="rId3"/>
    <sheet name="Bal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<sst xmlns="http://schemas.openxmlformats.org/spreadsheetml/2006/main" count="1137" uniqueCount="984">
  <si>
    <t xml:space="preserve">Rubriques</t>
  </si>
  <si>
    <t xml:space="preserve">COMPTE</t>
  </si>
  <si>
    <t xml:space="preserve">Chapitre</t>
  </si>
  <si>
    <t xml:space="preserve">Solde</t>
  </si>
  <si>
    <t xml:space="preserve">Charges_int_epargne</t>
  </si>
  <si>
    <t xml:space="preserve">601610000  INT SUR DEPOT A TERME INST</t>
  </si>
  <si>
    <t xml:space="preserve">602511000  INTERETS SUR DEPOTS A VUE</t>
  </si>
  <si>
    <t xml:space="preserve">602520000  INTERETS EPARGNE PROJET</t>
  </si>
  <si>
    <t xml:space="preserve">602521000  INTERETS CAT DEE 3 À 6 MOIS</t>
  </si>
  <si>
    <t xml:space="preserve">602522000  INTERETS CAT DE 6 A 12 MOIS</t>
  </si>
  <si>
    <t xml:space="preserve">602523000  INTETETS CAT PLUS DE 12 MOI</t>
  </si>
  <si>
    <t xml:space="preserve">602524000  INTERETS DAT INSTITUTIONNE</t>
  </si>
  <si>
    <t xml:space="preserve">602531000  INTERETS EPARGNE SPECIALE</t>
  </si>
  <si>
    <t xml:space="preserve">charges_financieres</t>
  </si>
  <si>
    <t xml:space="preserve">601750000  INTERETS EMPRUNTS C.T.</t>
  </si>
  <si>
    <t xml:space="preserve">601780000  INTERETS EMPRUNTS A TERME</t>
  </si>
  <si>
    <t xml:space="preserve">601781000  INTERETS SUR EMPRUNTS A T</t>
  </si>
  <si>
    <t xml:space="preserve">601900000  COMMISSIONS PAYEES</t>
  </si>
  <si>
    <t xml:space="preserve">601910000  ADHESION/COTISATIONS VERS</t>
  </si>
  <si>
    <t xml:space="preserve">601912000  COTISATIONS VERSES AUX  I.F.</t>
  </si>
  <si>
    <t xml:space="preserve">602540000  AUTRES INTERETS PAYES</t>
  </si>
  <si>
    <t xml:space="preserve">602910000  COTISATIONS APSFD</t>
  </si>
  <si>
    <t xml:space="preserve">605322000  CHARGES SUR EMPRUNTS DUR</t>
  </si>
  <si>
    <t xml:space="preserve">605322100  CHARGES EMPRUNTS DUREE M</t>
  </si>
  <si>
    <t xml:space="preserve">608100000  CHARGES SUR MOYENS DE PA</t>
  </si>
  <si>
    <t xml:space="preserve">608900000  SERVICES BANCAIRES</t>
  </si>
  <si>
    <t xml:space="preserve">608910000  AUT. CHARGES PRESTATIONS</t>
  </si>
  <si>
    <t xml:space="preserve">charges_de_groupe</t>
  </si>
  <si>
    <t xml:space="preserve">601911000  CHARGES DE GROUPE IMPUTE</t>
  </si>
  <si>
    <t xml:space="preserve">loyers_et_ch_loc</t>
  </si>
  <si>
    <t xml:space="preserve">621200000  LOYER CHARGES LOCATIVES</t>
  </si>
  <si>
    <t xml:space="preserve">autres_charges</t>
  </si>
  <si>
    <t xml:space="preserve">611610000  CARBURANTS ET LUBRIFIANT</t>
  </si>
  <si>
    <t xml:space="preserve">611621000  EAU ELECTRICITE</t>
  </si>
  <si>
    <t xml:space="preserve">611622000  ELECTRICITE</t>
  </si>
  <si>
    <t xml:space="preserve">611624000  MATIERES ET FOURNITURES C</t>
  </si>
  <si>
    <t xml:space="preserve">611625000  AUTRES CHARGES</t>
  </si>
  <si>
    <t xml:space="preserve">612000000  VARIATION DE STOCKS</t>
  </si>
  <si>
    <t xml:space="preserve">621400000  ENTRETIEN REPARATION</t>
  </si>
  <si>
    <t xml:space="preserve">621500000  PRIMES D'ASSURANCE</t>
  </si>
  <si>
    <t xml:space="preserve">621600000  FORMATION ETUDE RECHERC</t>
  </si>
  <si>
    <t xml:space="preserve">621710000  FRAIS FORMATION PERSONNEL</t>
  </si>
  <si>
    <t xml:space="preserve">621720000  FRAIS FORMATION  MEMBRES</t>
  </si>
  <si>
    <t xml:space="preserve">621730000  FRAIS FORMATION ELUS</t>
  </si>
  <si>
    <t xml:space="preserve">622110000  FRAIS DE GARDIENNAGE</t>
  </si>
  <si>
    <t xml:space="preserve">622120000  INDEMNITE PERSONNEL EXTE</t>
  </si>
  <si>
    <t xml:space="preserve">622200000  HONORAIRES ET FRAIS D'ACTE</t>
  </si>
  <si>
    <t xml:space="preserve">622300000  PUBLICITE ET RELATIONS PUB</t>
  </si>
  <si>
    <t xml:space="preserve">622400000  TRANSPORT ET DEPLACEMENT</t>
  </si>
  <si>
    <t xml:space="preserve">622610000  HEBERGEMENT RESTAURATIO</t>
  </si>
  <si>
    <t xml:space="preserve">622620000  MISSIONS</t>
  </si>
  <si>
    <t xml:space="preserve">622630000  RECEPTIONS</t>
  </si>
  <si>
    <t xml:space="preserve">622700000  POSTE ET TELECOMUNICATION</t>
  </si>
  <si>
    <t xml:space="preserve">623100000  REDEVANCES POUR CONCESSI</t>
  </si>
  <si>
    <t xml:space="preserve">623310000  PERDIEM</t>
  </si>
  <si>
    <t xml:space="preserve">623320000  TRANSPORT</t>
  </si>
  <si>
    <t xml:space="preserve">623330000  HEBERGEMENT</t>
  </si>
  <si>
    <t xml:space="preserve">623340000  TELEPHONE</t>
  </si>
  <si>
    <t xml:space="preserve">623350000  CARBURANT</t>
  </si>
  <si>
    <t xml:space="preserve">623390000  AUTRES</t>
  </si>
  <si>
    <t xml:space="preserve">623510000  MOINS-VALUES DE CESSION SU</t>
  </si>
  <si>
    <t xml:space="preserve">623910000  DONS</t>
  </si>
  <si>
    <t xml:space="preserve">671900000  CHARGES DIVERSES</t>
  </si>
  <si>
    <t xml:space="preserve">impots_et_taxes</t>
  </si>
  <si>
    <t xml:space="preserve">631100000  C.F.C.E.</t>
  </si>
  <si>
    <t xml:space="preserve">631110000  TAXES SUR LES SALAIRES</t>
  </si>
  <si>
    <t xml:space="preserve">632100000  TAXES FONCIERESTAXES VEH</t>
  </si>
  <si>
    <t xml:space="preserve">632300000  IMPOTS INDIRECTS</t>
  </si>
  <si>
    <t xml:space="preserve">632400000  DROITS ENRIST.TIMBRES FISCA</t>
  </si>
  <si>
    <t xml:space="preserve">632900000  AUTRES IMPOTS ET TAXES</t>
  </si>
  <si>
    <t xml:space="preserve">633100000  AUTRES IMPOTS ET TAXESVER</t>
  </si>
  <si>
    <t xml:space="preserve">691000000  IMPOTS SUR LES EXCEDENTS</t>
  </si>
  <si>
    <t xml:space="preserve">frais_de_personnel</t>
  </si>
  <si>
    <t xml:space="preserve">641100000  SALAIRES ET APPOINTEMENTS</t>
  </si>
  <si>
    <t xml:space="preserve">641200000  INDEMNITES</t>
  </si>
  <si>
    <t xml:space="preserve">641300000  PRIMES</t>
  </si>
  <si>
    <t xml:space="preserve">641500000  ASSURANCES INDEMNITE</t>
  </si>
  <si>
    <t xml:space="preserve">641600000  RACHAT INDEMNITES</t>
  </si>
  <si>
    <t xml:space="preserve">642100000  CHARGES IPRES</t>
  </si>
  <si>
    <t xml:space="preserve">642200000  CHARGES C.S.S.</t>
  </si>
  <si>
    <t xml:space="preserve">642300000  CHARGES I.P.M.</t>
  </si>
  <si>
    <t xml:space="preserve">642400000  AUTRES OEUVRES SOCIALES</t>
  </si>
  <si>
    <t xml:space="preserve">642500000  CHARGES SOCIALES ASSURAN</t>
  </si>
  <si>
    <t xml:space="preserve">643000000  REMUNERAT.VERSE AUX STAG</t>
  </si>
  <si>
    <t xml:space="preserve">amortissements</t>
  </si>
  <si>
    <t xml:space="preserve">661110000  DOTATION AMORTIS INCORPO</t>
  </si>
  <si>
    <t xml:space="preserve">661120000  DOTATION AMORTISS CORPOR</t>
  </si>
  <si>
    <t xml:space="preserve">661220000  DOTATIONS AMORT REAL GAR</t>
  </si>
  <si>
    <t xml:space="preserve">662000000  DOT AMORT CHARGE A REPAR</t>
  </si>
  <si>
    <t xml:space="preserve">provisions</t>
  </si>
  <si>
    <t xml:space="preserve">650000000  DOT AU PROV RIS FINANCIERS</t>
  </si>
  <si>
    <t xml:space="preserve">664120000  DOTATION/PROV 3 A 6 MOIS</t>
  </si>
  <si>
    <t xml:space="preserve">664121000  DOTATION /PROV CREANCES 3</t>
  </si>
  <si>
    <t xml:space="preserve">664200000  DOTATION PROV 6 A 12 MOIS</t>
  </si>
  <si>
    <t xml:space="preserve">664210000  DOTATION /PROV CREANCES 6</t>
  </si>
  <si>
    <t xml:space="preserve">664300000  DOTATION PROV PLUS DE12 M</t>
  </si>
  <si>
    <t xml:space="preserve">664310000  DOTATION PROV CREANCE PL</t>
  </si>
  <si>
    <t xml:space="preserve">666000000  DOTATIONS/ PROV  ELTS ACTI</t>
  </si>
  <si>
    <t xml:space="preserve">667100000  DOTATION PROV PERTE CHAR</t>
  </si>
  <si>
    <t xml:space="preserve">667200000  DOTATION PROVISIO RISQUE</t>
  </si>
  <si>
    <t xml:space="preserve">pertes</t>
  </si>
  <si>
    <t xml:space="preserve">669110000  PERTE SUR CREANCE</t>
  </si>
  <si>
    <t xml:space="preserve">669120000  PERTES SUR CREANCES CLTS</t>
  </si>
  <si>
    <t xml:space="preserve">671300000  AUTRES CHAGRES EXCEPTION</t>
  </si>
  <si>
    <t xml:space="preserve">671600000  PERTES RESUL ECART SUR CAI</t>
  </si>
  <si>
    <t xml:space="preserve">FRAIS DE DOSSIER</t>
  </si>
  <si>
    <t xml:space="preserve">702931000  FRAIS DE DOSSIER</t>
  </si>
  <si>
    <t xml:space="preserve">interets_payes</t>
  </si>
  <si>
    <t xml:space="preserve">701330000  INTERETS SUR PRETS A TERME</t>
  </si>
  <si>
    <t xml:space="preserve">701910000  COTISATIONS ET DROITS ADHE</t>
  </si>
  <si>
    <t xml:space="preserve">702121000  INTERETS CREDITS C.T.</t>
  </si>
  <si>
    <t xml:space="preserve">702122000  AUTRES INTERETS PERCUS</t>
  </si>
  <si>
    <t xml:space="preserve">702131000  INTERETS CREDITS M.T.</t>
  </si>
  <si>
    <t xml:space="preserve">702132000  INT CREDIT AU PERS.A MOYEN</t>
  </si>
  <si>
    <t xml:space="preserve">702141000  INTERETS SUR CREDIT L.T.</t>
  </si>
  <si>
    <t xml:space="preserve">702142000  INT CREDIT PERS A LG TERME</t>
  </si>
  <si>
    <t xml:space="preserve">702511000  INTERETS SUR COMPTE COURA</t>
  </si>
  <si>
    <t xml:space="preserve">frais_de_penalite_payes</t>
  </si>
  <si>
    <t xml:space="preserve">702891000  PENALITES</t>
  </si>
  <si>
    <t xml:space="preserve">interets_sur_penalites_payes</t>
  </si>
  <si>
    <t xml:space="preserve">702892000  INTERETS SUR PENALITES</t>
  </si>
  <si>
    <t xml:space="preserve">droit_adhesion</t>
  </si>
  <si>
    <t xml:space="preserve">702911000  DROITS D'ADHESION</t>
  </si>
  <si>
    <t xml:space="preserve">autres_produits</t>
  </si>
  <si>
    <t xml:space="preserve">701931000  AUTRES COMMISSIONS</t>
  </si>
  <si>
    <t xml:space="preserve">702936000  COMMISSION REPORT D'ECHEA</t>
  </si>
  <si>
    <t xml:space="preserve">702920000  COMMISIONS GRL</t>
  </si>
  <si>
    <t xml:space="preserve">702921000  MONEY GRAM COMMISSIONS</t>
  </si>
  <si>
    <t xml:space="preserve">702922000  RIA COMMISSIONS DAKAR SIE</t>
  </si>
  <si>
    <t xml:space="preserve">702923000  COMMISSIONS MONEY EXPRE</t>
  </si>
  <si>
    <t xml:space="preserve">702924000  COMMISSION ACEP</t>
  </si>
  <si>
    <t xml:space="preserve">702925000  COMMISSIONS W.U</t>
  </si>
  <si>
    <t xml:space="preserve">702926000  COMMISSIONS  JONI JONI</t>
  </si>
  <si>
    <t xml:space="preserve">702927000  COMMISSIONS WARI</t>
  </si>
  <si>
    <t xml:space="preserve">702929000  COMMISSIONS SWALL WORLD</t>
  </si>
  <si>
    <t xml:space="preserve">702930000  FRAIS SUR AVANCE PEP</t>
  </si>
  <si>
    <t xml:space="preserve">702932000  COMMISSION RETRAIT DEPLAC</t>
  </si>
  <si>
    <t xml:space="preserve">702933000  COMMISSION VERSEMENT DEP</t>
  </si>
  <si>
    <t xml:space="preserve">702934000  COTISATIONS MUTUALISTES</t>
  </si>
  <si>
    <t xml:space="preserve">702937000  COMMISSIONS XPRESS BANKI</t>
  </si>
  <si>
    <t xml:space="preserve">702938000  COMMISSION BNB</t>
  </si>
  <si>
    <t xml:space="preserve">702939000  AUTRES COMMISSIONS</t>
  </si>
  <si>
    <t xml:space="preserve">703100000  PRODUITS ET PROFITS SUR TIT</t>
  </si>
  <si>
    <t xml:space="preserve">704102000  PRODUITS ET PROFITS SUR PR</t>
  </si>
  <si>
    <t xml:space="preserve">707230000  PRODUIT SUR ENGAGEMENT</t>
  </si>
  <si>
    <t xml:space="preserve">707600000  COMMISSION ACQUISE SUR LE</t>
  </si>
  <si>
    <t xml:space="preserve">725120000  PRODUITS CESSION ELEMENTS</t>
  </si>
  <si>
    <t xml:space="preserve">727000000  REVENUS DES IMMEUBLES HO</t>
  </si>
  <si>
    <t xml:space="preserve">728120000  CHARGES REFACTUREES</t>
  </si>
  <si>
    <t xml:space="preserve">740000000  SUBVENTION D'EXPLOITATION</t>
  </si>
  <si>
    <t xml:space="preserve">728200000  CHARGES A REP SUR +SIEURS</t>
  </si>
  <si>
    <t xml:space="preserve">Charge_de_groupe</t>
  </si>
  <si>
    <t xml:space="preserve">728100000  CHARGES DE GROUPE RETROC</t>
  </si>
  <si>
    <t xml:space="preserve">produits_moyens_paiement</t>
  </si>
  <si>
    <t xml:space="preserve">708110000  VENTES CARTES UBA</t>
  </si>
  <si>
    <t xml:space="preserve">708120000  COMMISSION CARTE UBA</t>
  </si>
  <si>
    <t xml:space="preserve">708130000  CIONS BANQUE 2 WALLET</t>
  </si>
  <si>
    <t xml:space="preserve">708131000  COMMISSION INTERCO  WAVE</t>
  </si>
  <si>
    <t xml:space="preserve">708140000  CIONS RESEAUX D'AGENTS</t>
  </si>
  <si>
    <t xml:space="preserve">708150000  COMMISSIONS ORANGE MONE</t>
  </si>
  <si>
    <t xml:space="preserve">708160000  COMMISSIONS VIREMENTS</t>
  </si>
  <si>
    <t xml:space="preserve">708170000  COMMISSIONS  WAVE</t>
  </si>
  <si>
    <t xml:space="preserve">708180000  COMMISSIONS VIREMENTS SU</t>
  </si>
  <si>
    <t xml:space="preserve">708190000  PART COM.ACEP/PAYMENT</t>
  </si>
  <si>
    <t xml:space="preserve">produits_prest_serv_fin</t>
  </si>
  <si>
    <t xml:space="preserve">729000000  ABONNEMENT ACEP CONNECT</t>
  </si>
  <si>
    <t xml:space="preserve">729100000  COMMISSION ACEP CONNECT</t>
  </si>
  <si>
    <t xml:space="preserve">729200000  COMMISSION RELEVE COMPTE</t>
  </si>
  <si>
    <t xml:space="preserve">729230000  ATTESTATION DE NON ENGAG</t>
  </si>
  <si>
    <t xml:space="preserve">729240000  ATTESTATION REGUL CHEQ IM</t>
  </si>
  <si>
    <t xml:space="preserve">729250000  ATTESTATION D'ENGAGEMENT</t>
  </si>
  <si>
    <t xml:space="preserve">729260000  ATTEST  CAPACITE FINANCIER</t>
  </si>
  <si>
    <t xml:space="preserve">reprise_provisions</t>
  </si>
  <si>
    <t xml:space="preserve">764120000  REPRISE/PROV DE 3 A 6 MOIS</t>
  </si>
  <si>
    <t xml:space="preserve">764121000  REPRISES  PROV/CREA 3 A 6 M</t>
  </si>
  <si>
    <t xml:space="preserve">764200000  REPRISES/PROV DE 6 A 12 MOIS</t>
  </si>
  <si>
    <t xml:space="preserve">764210000  REPRISES PROV/CREA 6 A 12 M</t>
  </si>
  <si>
    <t xml:space="preserve">764300000  REPRISE/PROV PLUS DE 12 MOI</t>
  </si>
  <si>
    <t xml:space="preserve">764310000  REPRISES PROV/CRE.12 A 24 M</t>
  </si>
  <si>
    <t xml:space="preserve">767000000  REPRISE PROV. RISQUE ENTRE</t>
  </si>
  <si>
    <t xml:space="preserve">767100000  REPRISES PROVISIONS RETRAI</t>
  </si>
  <si>
    <t xml:space="preserve">767200000  AUTRES REPRISES PROVISION</t>
  </si>
  <si>
    <t xml:space="preserve">recuperation_pertes_et_creances_amorties</t>
  </si>
  <si>
    <t xml:space="preserve">769000000  RECUP.  SUR CREANCES AMOR</t>
  </si>
  <si>
    <t xml:space="preserve">771400000  QUOTE PART SUBVENTION</t>
  </si>
  <si>
    <t xml:space="preserve">771600000  PRODUITS RESULT  ECART/CAI</t>
  </si>
  <si>
    <t xml:space="preserve">771700000  PRODUIT RESULT/ECART SUR</t>
  </si>
  <si>
    <t xml:space="preserve">771900000  AUTRES PRODUITS EXCEPTION</t>
  </si>
  <si>
    <t xml:space="preserve">772300000  PROFITS EXCEPTIONNELS</t>
  </si>
  <si>
    <t xml:space="preserve">LIBELLE</t>
  </si>
  <si>
    <t xml:space="preserve">SOLDE_CUMULE_DEBIT</t>
  </si>
  <si>
    <t xml:space="preserve">SOLDE_CUMULE_CREDIT</t>
  </si>
  <si>
    <t xml:space="preserve">SOLDE</t>
  </si>
  <si>
    <t xml:space="preserve">COMPTE D'EQUILIBRE IMPORT</t>
  </si>
  <si>
    <t xml:space="preserve">CAISSE DAKAR</t>
  </si>
  <si>
    <t xml:space="preserve">PETITE CAISSE KAOLACK</t>
  </si>
  <si>
    <t xml:space="preserve">CAISSE UNITE 4</t>
  </si>
  <si>
    <t xml:space="preserve">CAISSE MBIRKILANE</t>
  </si>
  <si>
    <t xml:space="preserve">CAISSE NDORONG</t>
  </si>
  <si>
    <t xml:space="preserve">CAISSE GUINGUINEO</t>
  </si>
  <si>
    <t xml:space="preserve">CAISSE DIEUPPEUL</t>
  </si>
  <si>
    <t xml:space="preserve">CAISSE PATTE D'OIE</t>
  </si>
  <si>
    <t xml:space="preserve">PETITE CAISSE ZIGUINCHOR</t>
  </si>
  <si>
    <t xml:space="preserve">CAISSE YARAKH</t>
  </si>
  <si>
    <t xml:space="preserve">PETITE CAISSE KOLDA</t>
  </si>
  <si>
    <t xml:space="preserve">PETITE CAISSE LOUGA</t>
  </si>
  <si>
    <t xml:space="preserve">PETITE CAISSE DIOURBEL</t>
  </si>
  <si>
    <t xml:space="preserve">PETITE CAISSE OURO</t>
  </si>
  <si>
    <t xml:space="preserve">PETITE CAISSE TAMBA</t>
  </si>
  <si>
    <t xml:space="preserve">PETITE CAISSE SAINT LOUIS</t>
  </si>
  <si>
    <t xml:space="preserve">PETITE CAISSE THIES</t>
  </si>
  <si>
    <t xml:space="preserve">CAISSE MEKHE</t>
  </si>
  <si>
    <t xml:space="preserve">CAISSE SANTHIABA</t>
  </si>
  <si>
    <t xml:space="preserve">PETITE CAISSE MBOUR</t>
  </si>
  <si>
    <t xml:space="preserve">CAISSE 11 NOVEMBRE</t>
  </si>
  <si>
    <t xml:space="preserve">PETITE CAISSE TOUBA</t>
  </si>
  <si>
    <t xml:space="preserve">PETITE CAISSE PLATEAU</t>
  </si>
  <si>
    <t xml:space="preserve">CAISSE THIES RTE DE MBOUR</t>
  </si>
  <si>
    <t xml:space="preserve">CAISSE NGALLELE STLOUIS</t>
  </si>
  <si>
    <t xml:space="preserve">CAISSE COLOBANE</t>
  </si>
  <si>
    <t xml:space="preserve">CAISSE MEDINA</t>
  </si>
  <si>
    <t xml:space="preserve">CAISSE SANDAGA</t>
  </si>
  <si>
    <t xml:space="preserve">CAISSE MEDINA RUE 9</t>
  </si>
  <si>
    <t xml:space="preserve">CAISSE DALIFORT</t>
  </si>
  <si>
    <t xml:space="preserve">CAISSE YOFF</t>
  </si>
  <si>
    <t xml:space="preserve">CAISSE HLM</t>
  </si>
  <si>
    <t xml:space="preserve">CAISSE OUAKAM</t>
  </si>
  <si>
    <t xml:space="preserve">CAISSE KAFFRINE</t>
  </si>
  <si>
    <t xml:space="preserve">CAISSE FATICK</t>
  </si>
  <si>
    <t xml:space="preserve">CAISSE PASSY</t>
  </si>
  <si>
    <t xml:space="preserve">CAISSE KOUNGHEUL</t>
  </si>
  <si>
    <t xml:space="preserve">CAISSE KAOLACK NORD</t>
  </si>
  <si>
    <t xml:space="preserve">CAISSE NIORO</t>
  </si>
  <si>
    <t xml:space="preserve">CAISSE MEDINA 2</t>
  </si>
  <si>
    <t xml:space="preserve">CAISSE BIGNONA</t>
  </si>
  <si>
    <t xml:space="preserve">CAISSE VELINGARA</t>
  </si>
  <si>
    <t xml:space="preserve">CAISSE SEDHIOU</t>
  </si>
  <si>
    <t xml:space="preserve">CAISSE DIAOBE</t>
  </si>
  <si>
    <t xml:space="preserve">CAISSE RICHARD TOLL</t>
  </si>
  <si>
    <t xml:space="preserve">CAISSE LOUGA</t>
  </si>
  <si>
    <t xml:space="preserve">CAISSE SAINT LOUIS 2</t>
  </si>
  <si>
    <t xml:space="preserve">CAISSE KEBEMER</t>
  </si>
  <si>
    <t xml:space="preserve">CAISSE DAHRA</t>
  </si>
  <si>
    <t xml:space="preserve">CAISSE NIOMRE</t>
  </si>
  <si>
    <t xml:space="preserve">CAISSE BAMBEY</t>
  </si>
  <si>
    <t xml:space="preserve">CAISSE NDIOUM</t>
  </si>
  <si>
    <t xml:space="preserve">CAISSE GALOYA</t>
  </si>
  <si>
    <t xml:space="preserve">CAISSE KEDOUGOU</t>
  </si>
  <si>
    <t xml:space="preserve">CAISSE BAKEL</t>
  </si>
  <si>
    <t xml:space="preserve">CAISSE TAMBA PONT</t>
  </si>
  <si>
    <t xml:space="preserve">CAISSE KIDIRA</t>
  </si>
  <si>
    <t xml:space="preserve">CAISSE KOUMPENTOUM</t>
  </si>
  <si>
    <t xml:space="preserve">CAISSE AUXILIAIRE TIVAOUAN</t>
  </si>
  <si>
    <t xml:space="preserve">CAISSE AUXLIAIRE TIVAOUAN</t>
  </si>
  <si>
    <t xml:space="preserve">CAISSE KHOMBOL</t>
  </si>
  <si>
    <t xml:space="preserve">CAISSE HERSENT</t>
  </si>
  <si>
    <t xml:space="preserve">CAISSE MARCHE THIES</t>
  </si>
  <si>
    <t xml:space="preserve">CAISSE MBORO</t>
  </si>
  <si>
    <t xml:space="preserve">CAISSE KEUR MASSAR</t>
  </si>
  <si>
    <t xml:space="preserve">CAISSE KEUR MASSAR 2</t>
  </si>
  <si>
    <t xml:space="preserve">CAISSE RUFISQUE</t>
  </si>
  <si>
    <t xml:space="preserve">CAISSE BAYAKH</t>
  </si>
  <si>
    <t xml:space="preserve">CAISSE DIAMNIADIO</t>
  </si>
  <si>
    <t xml:space="preserve">CAISSE RUFISQUE 3</t>
  </si>
  <si>
    <t xml:space="preserve">CAISSE POSTE THIAROYE</t>
  </si>
  <si>
    <t xml:space="preserve">CAISSE YEUMBEUL</t>
  </si>
  <si>
    <t xml:space="preserve">CAISSE GUEDIAWAYE</t>
  </si>
  <si>
    <t xml:space="preserve">CAISSE GUEDIAWAYE 3</t>
  </si>
  <si>
    <t xml:space="preserve">CAISSE NGUEKOKH</t>
  </si>
  <si>
    <t xml:space="preserve">CAISSE MARCHE CENTRAL MB</t>
  </si>
  <si>
    <t xml:space="preserve">CAISSE JOAL</t>
  </si>
  <si>
    <t xml:space="preserve">CAISSE PIKINE CHAVANNEL</t>
  </si>
  <si>
    <t xml:space="preserve">CAISSE MBACKE</t>
  </si>
  <si>
    <t xml:space="preserve">CAISSE TOUBA</t>
  </si>
  <si>
    <t xml:space="preserve">CAISSE MARCHE OCAS</t>
  </si>
  <si>
    <t xml:space="preserve">CAISSE DAROU MOUSTY</t>
  </si>
  <si>
    <t xml:space="preserve">CAISSE GRAND-YOFF</t>
  </si>
  <si>
    <t xml:space="preserve">CAISSE THIAROYE</t>
  </si>
  <si>
    <t xml:space="preserve">CAISSE UNITE 20</t>
  </si>
  <si>
    <t xml:space="preserve">CAISSE PARCELLES ASSAINIES</t>
  </si>
  <si>
    <t xml:space="preserve">CAISSE SCAT URBAM</t>
  </si>
  <si>
    <t xml:space="preserve">CAISSE MARISTE</t>
  </si>
  <si>
    <t xml:space="preserve">CAISSE UNITE 12</t>
  </si>
  <si>
    <t xml:space="preserve">CAISSE UNITE4 GOLF</t>
  </si>
  <si>
    <t xml:space="preserve">CAISSE PRINCIPALE PLATEAU</t>
  </si>
  <si>
    <t xml:space="preserve">CAISSE REGUL DAKAR PLATEA</t>
  </si>
  <si>
    <t xml:space="preserve">CAISSE LOUGA 2</t>
  </si>
  <si>
    <t xml:space="preserve">CAISSE GUEDIAWAYE 2</t>
  </si>
  <si>
    <t xml:space="preserve">CAISSE PRINCIPALE DAKAR</t>
  </si>
  <si>
    <t xml:space="preserve">CAISSE PRINCIPAL SIEGE</t>
  </si>
  <si>
    <t xml:space="preserve">CAISSE PRINCIPALE KAOLACK</t>
  </si>
  <si>
    <t xml:space="preserve">CAISSE REGUL KK</t>
  </si>
  <si>
    <t xml:space="preserve">CAISSE REGUL KAFFRINE</t>
  </si>
  <si>
    <t xml:space="preserve">CAISSE ZIG</t>
  </si>
  <si>
    <t xml:space="preserve">CAISSE REGUL ZIGUINCHOR</t>
  </si>
  <si>
    <t xml:space="preserve">CAISSE BOUCOTT</t>
  </si>
  <si>
    <t xml:space="preserve">CAISSE CAP SKIRING</t>
  </si>
  <si>
    <t xml:space="preserve">CAISSE KOLDA 1</t>
  </si>
  <si>
    <t xml:space="preserve">CAISSE REGUL KOLDA</t>
  </si>
  <si>
    <t xml:space="preserve">CAISSE SAINT LOUIS</t>
  </si>
  <si>
    <t xml:space="preserve">CAISSE PRINCIPALE DIOURBEL</t>
  </si>
  <si>
    <t xml:space="preserve">CAISSE REGUL DIOURBEL</t>
  </si>
  <si>
    <t xml:space="preserve">CAISSE MARCHE DIOURBEL</t>
  </si>
  <si>
    <t xml:space="preserve">CAISSE PRINCIPALE OURO</t>
  </si>
  <si>
    <t xml:space="preserve">CAISSE SAINT LOUIS REG</t>
  </si>
  <si>
    <t xml:space="preserve">CAISSE PRINCIPALE TAMBA</t>
  </si>
  <si>
    <t xml:space="preserve">CAISSE PRINCIPALE THIES</t>
  </si>
  <si>
    <t xml:space="preserve">CAISSE REGUL THIES</t>
  </si>
  <si>
    <t xml:space="preserve">CAISSE THIES OUEST</t>
  </si>
  <si>
    <t xml:space="preserve">CAISSE THIES EST</t>
  </si>
  <si>
    <t xml:space="preserve">CAISSE PIKINE REGUL</t>
  </si>
  <si>
    <t xml:space="preserve">CAISSE PRINCIPALE PIKINE</t>
  </si>
  <si>
    <t xml:space="preserve">CAISSE REGUL SIEGE DAKAR</t>
  </si>
  <si>
    <t xml:space="preserve">CAISSE AUX REGION SIEGE</t>
  </si>
  <si>
    <t xml:space="preserve">CAISSE PRINCIPALE MBOUR</t>
  </si>
  <si>
    <t xml:space="preserve">CAISSE REGUL MBOUR</t>
  </si>
  <si>
    <t xml:space="preserve">CAISSE MBOUR</t>
  </si>
  <si>
    <t xml:space="preserve">CAISSE PRINCIPALE TOUBA</t>
  </si>
  <si>
    <t xml:space="preserve">CAISSE DAROU KHODOSS</t>
  </si>
  <si>
    <t xml:space="preserve">CAISSE OCASS 3</t>
  </si>
  <si>
    <t xml:space="preserve">CAISSE REGUL PARCELLES</t>
  </si>
  <si>
    <t xml:space="preserve">CAISSE REGUL LOUGA</t>
  </si>
  <si>
    <t xml:space="preserve">CAISSE REGUL RUFISQUE</t>
  </si>
  <si>
    <t xml:space="preserve">CAISSE REGUL TIVAOUANE</t>
  </si>
  <si>
    <t xml:space="preserve">CAISSE ACEP FEKSILA</t>
  </si>
  <si>
    <t xml:space="preserve">COMPTE ORD MUTUELLE KAOL</t>
  </si>
  <si>
    <t xml:space="preserve">COMPTE CAISSE CENTRALE DA</t>
  </si>
  <si>
    <t xml:space="preserve">COMPTE CAISSE CENTRALE KA</t>
  </si>
  <si>
    <t xml:space="preserve">COMPTE CAISSE CENTRALE PI</t>
  </si>
  <si>
    <t xml:space="preserve">COMPTE CAISSE CENTRALE M</t>
  </si>
  <si>
    <t xml:space="preserve">COMPTE CAISSE CENTRALE ZI</t>
  </si>
  <si>
    <t xml:space="preserve">COMPTE CAISSE CENTRALE KO</t>
  </si>
  <si>
    <t xml:space="preserve">COMPTE CAISSE CENTRAL STL</t>
  </si>
  <si>
    <t xml:space="preserve">COMPTE CAISSE CENTRAL DIO</t>
  </si>
  <si>
    <t xml:space="preserve">COMPTE CAISSE CENTRALE OU</t>
  </si>
  <si>
    <t xml:space="preserve">COMPTE CAISSE CENTRALE TA</t>
  </si>
  <si>
    <t xml:space="preserve">COMPTE CAISSE CENTRALE TH</t>
  </si>
  <si>
    <t xml:space="preserve">CCP/ACEP PASSY</t>
  </si>
  <si>
    <t xml:space="preserve">CCP KAFFRINE</t>
  </si>
  <si>
    <t xml:space="preserve">CCP KOUNGHEUL</t>
  </si>
  <si>
    <t xml:space="preserve">CCP GUINGUINEO</t>
  </si>
  <si>
    <t xml:space="preserve">CCP KOUMPENTOUM</t>
  </si>
  <si>
    <t xml:space="preserve">CENTRE CHEQUES POSTAUX</t>
  </si>
  <si>
    <t xml:space="preserve">CCP/ACEP BAMBEY</t>
  </si>
  <si>
    <t xml:space="preserve">CCP KEDOUGOU</t>
  </si>
  <si>
    <t xml:space="preserve">CCP TIVAOUANE</t>
  </si>
  <si>
    <t xml:space="preserve">SGBS DAKAR</t>
  </si>
  <si>
    <t xml:space="preserve">SGBS CONSO</t>
  </si>
  <si>
    <t xml:space="preserve">SGBS POINT E</t>
  </si>
  <si>
    <t xml:space="preserve">CNCAS DAKAR</t>
  </si>
  <si>
    <t xml:space="preserve">CNCAS COUVERTURE MG</t>
  </si>
  <si>
    <t xml:space="preserve">CNCAS COMMISSION MG</t>
  </si>
  <si>
    <t xml:space="preserve">ECOBANK DAKAR</t>
  </si>
  <si>
    <t xml:space="preserve">COUVERTURES WEST UNION</t>
  </si>
  <si>
    <t xml:space="preserve">ECB COMMISSIONS WEST UNIO</t>
  </si>
  <si>
    <t xml:space="preserve">ECB COUVERTURE AGENCY BA</t>
  </si>
  <si>
    <t xml:space="preserve">ECB COMMISSIONS AGENCY BA</t>
  </si>
  <si>
    <t xml:space="preserve">ECB COUVERTURE ET COMMIS</t>
  </si>
  <si>
    <t xml:space="preserve">BIS DAKAR</t>
  </si>
  <si>
    <t xml:space="preserve">COUVERTURE RIA</t>
  </si>
  <si>
    <t xml:space="preserve">COMMISSION RIA</t>
  </si>
  <si>
    <t xml:space="preserve">BIS ARABISANTS</t>
  </si>
  <si>
    <t xml:space="preserve">BIS REMB ARABE</t>
  </si>
  <si>
    <t xml:space="preserve">BIS COUVERTURE WARI</t>
  </si>
  <si>
    <t xml:space="preserve">BIS PALAM</t>
  </si>
  <si>
    <t xml:space="preserve">BIS PALAM REMB</t>
  </si>
  <si>
    <t xml:space="preserve">BICIS BOURGUIBA</t>
  </si>
  <si>
    <t xml:space="preserve">BANQUE REGIONALE DE MARC</t>
  </si>
  <si>
    <t xml:space="preserve">COUVERTURE BRM</t>
  </si>
  <si>
    <t xml:space="preserve">COUVERTURE SMALL WORLD</t>
  </si>
  <si>
    <t xml:space="preserve">COMMISSIONS SMALL WORLD</t>
  </si>
  <si>
    <t xml:space="preserve">INTERETS SMALL WORLD</t>
  </si>
  <si>
    <t xml:space="preserve">UBA SENAGAL</t>
  </si>
  <si>
    <t xml:space="preserve">UBA ACEP MEFP</t>
  </si>
  <si>
    <t xml:space="preserve">UBA COUVERTURE RIA</t>
  </si>
  <si>
    <t xml:space="preserve">UBA COMMISSION RIA</t>
  </si>
  <si>
    <t xml:space="preserve">ORABANK</t>
  </si>
  <si>
    <t xml:space="preserve">CNCAS VDN</t>
  </si>
  <si>
    <t xml:space="preserve">FBNBANK</t>
  </si>
  <si>
    <t xml:space="preserve">BDK</t>
  </si>
  <si>
    <t xml:space="preserve">COMPTE DE REGLEMENT SGS</t>
  </si>
  <si>
    <t xml:space="preserve">BIMAO</t>
  </si>
  <si>
    <t xml:space="preserve">ACEP PERCEPTION INT.ORABA</t>
  </si>
  <si>
    <t xml:space="preserve">FBNBANK KORI</t>
  </si>
  <si>
    <t xml:space="preserve">COUVERTURE BRIDGE BNB</t>
  </si>
  <si>
    <t xml:space="preserve">DIAMOND BANK DAKAR</t>
  </si>
  <si>
    <t xml:space="preserve">SGBS KAOLACK</t>
  </si>
  <si>
    <t xml:space="preserve">CBAO KAOLACK</t>
  </si>
  <si>
    <t xml:space="preserve">CNCAS FATICK</t>
  </si>
  <si>
    <t xml:space="preserve">CNCAS FAFFRINE</t>
  </si>
  <si>
    <t xml:space="preserve">BOA KAOLACK</t>
  </si>
  <si>
    <t xml:space="preserve">SGBS ZIGUINCHOR</t>
  </si>
  <si>
    <t xml:space="preserve">CBAO ZIGUINCHOR</t>
  </si>
  <si>
    <t xml:space="preserve">SGBS KOLDA</t>
  </si>
  <si>
    <t xml:space="preserve">CBAO VELINGARA</t>
  </si>
  <si>
    <t xml:space="preserve">CNCAS SEDHIOU</t>
  </si>
  <si>
    <t xml:space="preserve">SGBS ST LOUIS</t>
  </si>
  <si>
    <t xml:space="preserve">CBAO KEBEMER</t>
  </si>
  <si>
    <t xml:space="preserve">CNCAS SAINT LOUIS</t>
  </si>
  <si>
    <t xml:space="preserve">CNCAS RICHARD TOLL</t>
  </si>
  <si>
    <t xml:space="preserve">CNCAS LOUGA</t>
  </si>
  <si>
    <t xml:space="preserve">BICIS LOUGA</t>
  </si>
  <si>
    <t xml:space="preserve">SGBS DIOURBEL</t>
  </si>
  <si>
    <t xml:space="preserve">BST MBACKE</t>
  </si>
  <si>
    <t xml:space="preserve">CNCAS DIOURBEL</t>
  </si>
  <si>
    <t xml:space="preserve">CBAO OURO</t>
  </si>
  <si>
    <t xml:space="preserve">CBAO GALOYA</t>
  </si>
  <si>
    <t xml:space="preserve">CNCASNDIOUM</t>
  </si>
  <si>
    <t xml:space="preserve">CNCAS OUROSSOGUI</t>
  </si>
  <si>
    <t xml:space="preserve">SGBS TAMBACOUNDA</t>
  </si>
  <si>
    <t xml:space="preserve">CNCAS BAKEL</t>
  </si>
  <si>
    <t xml:space="preserve">CNCAS ACEP FENU</t>
  </si>
  <si>
    <t xml:space="preserve">ECOBANK KEDOUGOU</t>
  </si>
  <si>
    <t xml:space="preserve">CBAO KIDIRA</t>
  </si>
  <si>
    <t xml:space="preserve">SGBS THIES</t>
  </si>
  <si>
    <t xml:space="preserve">CNCAS THIES</t>
  </si>
  <si>
    <t xml:space="preserve">SGBS RUFISQUE</t>
  </si>
  <si>
    <t xml:space="preserve">SGBS PIKINE</t>
  </si>
  <si>
    <t xml:space="preserve">BICIS RUFISQUE</t>
  </si>
  <si>
    <t xml:space="preserve">SGBS PROMER</t>
  </si>
  <si>
    <t xml:space="preserve">CBAO ATTIJARI</t>
  </si>
  <si>
    <t xml:space="preserve">COMMISSION BRM</t>
  </si>
  <si>
    <t xml:space="preserve">CNCAS MBOUR</t>
  </si>
  <si>
    <t xml:space="preserve">ECB MBOUR</t>
  </si>
  <si>
    <t xml:space="preserve">SGBS TOUBA</t>
  </si>
  <si>
    <t xml:space="preserve">SGBS AGENCE PARCELLES</t>
  </si>
  <si>
    <t xml:space="preserve">ECB LOUGA</t>
  </si>
  <si>
    <t xml:space="preserve">SGBS TIVAOUANE</t>
  </si>
  <si>
    <t xml:space="preserve">BIS MBORO</t>
  </si>
  <si>
    <t xml:space="preserve">BRIDGE BANK</t>
  </si>
  <si>
    <t xml:space="preserve">CORIS BANK</t>
  </si>
  <si>
    <t xml:space="preserve">BRIDGE BANK KOOM KOOM</t>
  </si>
  <si>
    <t xml:space="preserve">CORIS BANKPAYMENT</t>
  </si>
  <si>
    <t xml:space="preserve">OUTARDE</t>
  </si>
  <si>
    <t xml:space="preserve">DETTES RATTACHEES BANQUE</t>
  </si>
  <si>
    <t xml:space="preserve">CREANCES RATTACHES BANQU</t>
  </si>
  <si>
    <t xml:space="preserve">DETTES RATTACHES AIF</t>
  </si>
  <si>
    <t xml:space="preserve">DAT DE 0 A 6 MOIS</t>
  </si>
  <si>
    <t xml:space="preserve">DAT BANQUES</t>
  </si>
  <si>
    <t xml:space="preserve">DAT BANK 6 A 12 MOIS</t>
  </si>
  <si>
    <t xml:space="preserve">DAT BANK 12 MOIS A 2 ANS</t>
  </si>
  <si>
    <t xml:space="preserve">DEPOTS DE GARANTIES 2 A 3 A</t>
  </si>
  <si>
    <t xml:space="preserve">DAT BANK 2 ANS A 3 ANS</t>
  </si>
  <si>
    <t xml:space="preserve">CREANCES RATTACHEES DAT</t>
  </si>
  <si>
    <t xml:space="preserve">DEPOT DE GARANTIE CONSTIT</t>
  </si>
  <si>
    <t xml:space="preserve">PRETS A MOINS D'UN AN AUX S</t>
  </si>
  <si>
    <t xml:space="preserve">PRETS A TERME AUX SFD</t>
  </si>
  <si>
    <t xml:space="preserve">COMPTE ORD MUT DAKAR</t>
  </si>
  <si>
    <t xml:space="preserve">COMPTE MUTUEL DE KAOLACK</t>
  </si>
  <si>
    <t xml:space="preserve">COMPTE ORD MUT PIKINE</t>
  </si>
  <si>
    <t xml:space="preserve">COMPTE ORD MUT MBOUR</t>
  </si>
  <si>
    <t xml:space="preserve">COMPTE MUTUEL DE ZIGUINCH</t>
  </si>
  <si>
    <t xml:space="preserve">COMPTE MUTUEL DE KOLDA</t>
  </si>
  <si>
    <t xml:space="preserve">COMPTE ORD MUT ST LOUIS</t>
  </si>
  <si>
    <t xml:space="preserve">COMPTE ORD MUT DIOURBEL</t>
  </si>
  <si>
    <t xml:space="preserve">COMPTE MUTUEL OUROSSOGU</t>
  </si>
  <si>
    <t xml:space="preserve">COMPTE ORD MUT TAMBA</t>
  </si>
  <si>
    <t xml:space="preserve">COMPTE ORD MUT THIES</t>
  </si>
  <si>
    <t xml:space="preserve">DAT RECU DE 0 A 6 MOIS OU PL</t>
  </si>
  <si>
    <t xml:space="preserve">DAT RECUS +DE 2A3 ANS DES I</t>
  </si>
  <si>
    <t xml:space="preserve">DEPOT A TERME DE 3 A 10 ANS</t>
  </si>
  <si>
    <t xml:space="preserve">DETTES RAT SUR DAT REC DES</t>
  </si>
  <si>
    <t xml:space="preserve">EMPRUNTS MOINS D'1 AN PRES</t>
  </si>
  <si>
    <t xml:space="preserve">EMPR MOINS D'UN AN AUPRES</t>
  </si>
  <si>
    <t xml:space="preserve">EMPRUNT A - 1 AN IF</t>
  </si>
  <si>
    <t xml:space="preserve">DETTES RATTACHEES E.C.T.</t>
  </si>
  <si>
    <t xml:space="preserve">EMPRUNT A TERME PRES BQUE</t>
  </si>
  <si>
    <t xml:space="preserve">EMPRUNTS A TERME AUPRES S</t>
  </si>
  <si>
    <t xml:space="preserve">EMPRUNT A TERME PRES AURT</t>
  </si>
  <si>
    <t xml:space="preserve">DETTES RATTACHEES E.L.T.</t>
  </si>
  <si>
    <t xml:space="preserve">AUTRES SOMMES DUS AUX INS</t>
  </si>
  <si>
    <t xml:space="preserve">CPTES DORMANTS BCEAO</t>
  </si>
  <si>
    <t xml:space="preserve">RESSOURCES AFFECTEES</t>
  </si>
  <si>
    <t xml:space="preserve">RESSOURCES AFFECT. AJESUD</t>
  </si>
  <si>
    <t xml:space="preserve">RESSOU AFFECTEES TAMBALI</t>
  </si>
  <si>
    <t xml:space="preserve">RESSOURCES AFFECT. SUXXAL</t>
  </si>
  <si>
    <t xml:space="preserve">RESSOURCES AFFECT. YOKKUT</t>
  </si>
  <si>
    <t xml:space="preserve">RESSOURCES AFFECTES AMT</t>
  </si>
  <si>
    <t xml:space="preserve">RESSOURCES AFFECTEES BDL-</t>
  </si>
  <si>
    <t xml:space="preserve">IMPAYES SUR CREDIT RESS. A</t>
  </si>
  <si>
    <t xml:space="preserve">CREANCES SOUFFRANCE RES.</t>
  </si>
  <si>
    <t xml:space="preserve">RESSOURCES AFFECTES ALT</t>
  </si>
  <si>
    <t xml:space="preserve">RESS. AFF. PADEF LT</t>
  </si>
  <si>
    <t xml:space="preserve">RESSOURCES AFFECTEES DER</t>
  </si>
  <si>
    <t xml:space="preserve">RESSOURCES AFFEC PAVIE-BA</t>
  </si>
  <si>
    <t xml:space="preserve">INTERETS BDL-CAGD</t>
  </si>
  <si>
    <t xml:space="preserve">INTERETS PROGRAMME MFPPA</t>
  </si>
  <si>
    <t xml:space="preserve">INTERET PROGRAMME DER</t>
  </si>
  <si>
    <t xml:space="preserve">IMPAYE RESSOURCES AFFECTE</t>
  </si>
  <si>
    <t xml:space="preserve">CTX RESS AFFEC 3 A 6 MOIS</t>
  </si>
  <si>
    <t xml:space="preserve">CTX RESS AFFEC 6 A 12 MOIS</t>
  </si>
  <si>
    <t xml:space="preserve">CTX RESS AFFEC 12 A 24 MOIS</t>
  </si>
  <si>
    <t xml:space="preserve">RESSOURCES AFFECTEES PADE</t>
  </si>
  <si>
    <t xml:space="preserve">IMPAYE</t>
  </si>
  <si>
    <t xml:space="preserve">CREDITS ORDINAIRES A C.T.</t>
  </si>
  <si>
    <t xml:space="preserve">PRETS PERSONNEL</t>
  </si>
  <si>
    <t xml:space="preserve">PRÊT VEHICULE</t>
  </si>
  <si>
    <t xml:space="preserve">PRÊT IMMO 1</t>
  </si>
  <si>
    <t xml:space="preserve">PRÊT IMMOBILIER RACHETÉ</t>
  </si>
  <si>
    <t xml:space="preserve">PRET IMMO 2</t>
  </si>
  <si>
    <t xml:space="preserve">PRET EXCEPTIONNEL</t>
  </si>
  <si>
    <t xml:space="preserve">CREANCES RATTACHEES</t>
  </si>
  <si>
    <t xml:space="preserve">CREDITS ORDINAIRES A M.T.</t>
  </si>
  <si>
    <t xml:space="preserve">CRTS SUR RESSOURCES AFFEC</t>
  </si>
  <si>
    <t xml:space="preserve">CREDIT A CMT DE 2 A 3 ANS</t>
  </si>
  <si>
    <t xml:space="preserve">IMPAY CRED A MY TERME PER</t>
  </si>
  <si>
    <t xml:space="preserve">CREDIT PERS A MT DE 2 A 3ANS</t>
  </si>
  <si>
    <t xml:space="preserve">CREANCE RATTACHEE</t>
  </si>
  <si>
    <t xml:space="preserve">CREDITS ORDINAIRES A L.T.</t>
  </si>
  <si>
    <t xml:space="preserve">CREDITS AU PERSONNEL L.T.</t>
  </si>
  <si>
    <t xml:space="preserve">CREANCES RATTACHES CLT</t>
  </si>
  <si>
    <t xml:space="preserve">COMPTE COURANT CLIENT</t>
  </si>
  <si>
    <t xml:space="preserve">COMPTE COURANT</t>
  </si>
  <si>
    <t xml:space="preserve">CAT DE 3 A 6 MOIS</t>
  </si>
  <si>
    <t xml:space="preserve">COMPTE CAT DE 6 A 12 MOIS</t>
  </si>
  <si>
    <t xml:space="preserve">COMPTE CAT PLUS DE 12 MOIS</t>
  </si>
  <si>
    <t xml:space="preserve">DEPOT A TERME REÇUS 3 A 10</t>
  </si>
  <si>
    <t xml:space="preserve">DETTES RATTACHEES</t>
  </si>
  <si>
    <t xml:space="preserve">EPARGNE SPECIALE</t>
  </si>
  <si>
    <t xml:space="preserve">COMPTE PEP FONDS ROULEME</t>
  </si>
  <si>
    <t xml:space="preserve">COMPTE PEP EQUIPEMENT</t>
  </si>
  <si>
    <t xml:space="preserve">EPARGNE ENTREPRISES</t>
  </si>
  <si>
    <t xml:space="preserve">EPARGNE PROJET</t>
  </si>
  <si>
    <t xml:space="preserve">PERSONNEL EPARGNE</t>
  </si>
  <si>
    <t xml:space="preserve">EPARGNE OBLIGATOIRE</t>
  </si>
  <si>
    <t xml:space="preserve">DETTES RATTACHEES EPARGN</t>
  </si>
  <si>
    <t xml:space="preserve">IMPAYE CREDIT CT IREPORT</t>
  </si>
  <si>
    <t xml:space="preserve">CREDIT REPORT 6 A 12</t>
  </si>
  <si>
    <t xml:space="preserve">REPORT MT</t>
  </si>
  <si>
    <t xml:space="preserve">REPORT LT</t>
  </si>
  <si>
    <t xml:space="preserve">CREDIT SOUFF.DE 0 A 3 MOIS P</t>
  </si>
  <si>
    <t xml:space="preserve">CREDIT SOUFFRANCE 3 A 6 MO</t>
  </si>
  <si>
    <t xml:space="preserve">CREDIT SOUFFRANCE 6 A 12 MO</t>
  </si>
  <si>
    <t xml:space="preserve">CREDIT SOUFFRANCE 12 A 24 M</t>
  </si>
  <si>
    <t xml:space="preserve">PROVISIONS/CREDIT 3 A 6 MOIS</t>
  </si>
  <si>
    <t xml:space="preserve">PROVISONS CREANCE 3 A 6</t>
  </si>
  <si>
    <t xml:space="preserve">PROVISION/CREDIT 6 A 12 MOI</t>
  </si>
  <si>
    <t xml:space="preserve">PROVISIONS CREANCES 6 A 12</t>
  </si>
  <si>
    <t xml:space="preserve">CDL</t>
  </si>
  <si>
    <t xml:space="preserve">PROVISIONS/CREDIT 12 A 24 MO</t>
  </si>
  <si>
    <t xml:space="preserve">PROVISIONS CREANCES 12 A 24</t>
  </si>
  <si>
    <t xml:space="preserve">OBLIGATIONS</t>
  </si>
  <si>
    <t xml:space="preserve">INTERET COURUS SUR OBLIGA</t>
  </si>
  <si>
    <t xml:space="preserve">STOCKS DE MARCHANDISES</t>
  </si>
  <si>
    <t xml:space="preserve">PROVISION POUR DEPRECIATIO</t>
  </si>
  <si>
    <t xml:space="preserve">AVANCES PERSONNEL</t>
  </si>
  <si>
    <t xml:space="preserve">AVANCE TABASKI</t>
  </si>
  <si>
    <t xml:space="preserve">AVANCE KORITE</t>
  </si>
  <si>
    <t xml:space="preserve">AVANCE SCOLARITE</t>
  </si>
  <si>
    <t xml:space="preserve">AUTRES AVANCES</t>
  </si>
  <si>
    <t xml:space="preserve">TIERS PAYANT SANTE</t>
  </si>
  <si>
    <t xml:space="preserve">ORGANISMES SOCIAUX,AVANC</t>
  </si>
  <si>
    <t xml:space="preserve">ETAT , AV. ,ACPTES VERSES/TA</t>
  </si>
  <si>
    <t xml:space="preserve">COUVERTURE MG</t>
  </si>
  <si>
    <t xml:space="preserve">COUVERTUE RIA</t>
  </si>
  <si>
    <t xml:space="preserve">COUVERTURE MONEY EXPRES</t>
  </si>
  <si>
    <t xml:space="preserve">POSITION WARI</t>
  </si>
  <si>
    <t xml:space="preserve">POSITION JONI JONI</t>
  </si>
  <si>
    <t xml:space="preserve">POSITION UBA</t>
  </si>
  <si>
    <t xml:space="preserve">POSITION INTERCO</t>
  </si>
  <si>
    <t xml:space="preserve">POSITION INTERCO WAVE</t>
  </si>
  <si>
    <t xml:space="preserve">POSITION ORANGE MONEY</t>
  </si>
  <si>
    <t xml:space="preserve">COMPTE D'OPERATION CAISSE</t>
  </si>
  <si>
    <t xml:space="preserve">COMPTE D'OPERATION WAVE</t>
  </si>
  <si>
    <t xml:space="preserve">GRL PAIEMENT RUFISQUE</t>
  </si>
  <si>
    <t xml:space="preserve">AUTRES DEBITEURS</t>
  </si>
  <si>
    <t xml:space="preserve">COMPTE AVANCE INTERIMAIR</t>
  </si>
  <si>
    <t xml:space="preserve">DEBITEURS CLIENTS CONSO</t>
  </si>
  <si>
    <t xml:space="preserve">DEBITEURS ATTENTE VIRT</t>
  </si>
  <si>
    <t xml:space="preserve">REPRISE REMBOURSEMENT CD</t>
  </si>
  <si>
    <t xml:space="preserve">F.P.E. CREDIT A REMBOURSER</t>
  </si>
  <si>
    <t xml:space="preserve">PMK PRETS CAISSES</t>
  </si>
  <si>
    <t xml:space="preserve">WESTERN UNION RECEPTION</t>
  </si>
  <si>
    <t xml:space="preserve">PAIEMENT JONI JONI</t>
  </si>
  <si>
    <t xml:space="preserve">PAIEMENT WARI</t>
  </si>
  <si>
    <t xml:space="preserve">PAIEMENT SMALL WORLD</t>
  </si>
  <si>
    <t xml:space="preserve">PAIEMENT XPRESS BANKING</t>
  </si>
  <si>
    <t xml:space="preserve">RETRAIT CAURIDOR</t>
  </si>
  <si>
    <t xml:space="preserve">RECEPTION BNB</t>
  </si>
  <si>
    <t xml:space="preserve">RACHAT AMSA</t>
  </si>
  <si>
    <t xml:space="preserve">ATTENTE SUNU</t>
  </si>
  <si>
    <t xml:space="preserve">ATTENTE AMSA</t>
  </si>
  <si>
    <t xml:space="preserve">AUTRES CREANCES EN SOUFFR</t>
  </si>
  <si>
    <t xml:space="preserve">PROVISIONS POUR DEPRECIATI</t>
  </si>
  <si>
    <t xml:space="preserve">FOURNISSEURS D'EXPLOITATIO</t>
  </si>
  <si>
    <t xml:space="preserve">FOURNISSEUR</t>
  </si>
  <si>
    <t xml:space="preserve">FOURNISSEURS FACTURES NON</t>
  </si>
  <si>
    <t xml:space="preserve">FOURNISSEURS AVANCES ET A</t>
  </si>
  <si>
    <t xml:space="preserve">REMUNERATION PERSONNEL</t>
  </si>
  <si>
    <t xml:space="preserve">SUNU ASS DETTE RETRAITE</t>
  </si>
  <si>
    <t xml:space="preserve">PERSONNEL ASSURANCE</t>
  </si>
  <si>
    <t xml:space="preserve">PERSONNEL FOND DE RACHAT</t>
  </si>
  <si>
    <t xml:space="preserve">ASSURANCES RETRAITE PATRO</t>
  </si>
  <si>
    <t xml:space="preserve">AUTRES CREDITEURS DIVERS</t>
  </si>
  <si>
    <t xml:space="preserve">OPPOSITION</t>
  </si>
  <si>
    <t xml:space="preserve">IPRES</t>
  </si>
  <si>
    <t xml:space="preserve">C.S.S.</t>
  </si>
  <si>
    <t xml:space="preserve">IPM</t>
  </si>
  <si>
    <t xml:space="preserve">ETAT</t>
  </si>
  <si>
    <t xml:space="preserve">TAXE COLLECTEE/ MONEY EXP</t>
  </si>
  <si>
    <t xml:space="preserve">TAXE COLLECTÉE W.U</t>
  </si>
  <si>
    <t xml:space="preserve">TAXE COLLECTÉE M.G</t>
  </si>
  <si>
    <t xml:space="preserve">TAXE ENGAGEMENTS PAR SIGN</t>
  </si>
  <si>
    <t xml:space="preserve">TAXE SUR PRESTATION SERVIC</t>
  </si>
  <si>
    <t xml:space="preserve">TAXE COLLECTEE MOBILE CA</t>
  </si>
  <si>
    <t xml:space="preserve">TAXE COLLECTEE JONI JONI</t>
  </si>
  <si>
    <t xml:space="preserve">TAXE COLLECTEE WARI</t>
  </si>
  <si>
    <t xml:space="preserve">TAXE COLLECTEE RIA</t>
  </si>
  <si>
    <t xml:space="preserve">TAXES COLLECTEES CARTES U</t>
  </si>
  <si>
    <t xml:space="preserve">TVA COLLECTÉE/COMM</t>
  </si>
  <si>
    <t xml:space="preserve">TAXES COLLECTEES</t>
  </si>
  <si>
    <t xml:space="preserve">TAXES COLLECTEES WAVE</t>
  </si>
  <si>
    <t xml:space="preserve">TAXE COLLECTEE ORANGE MO</t>
  </si>
  <si>
    <t xml:space="preserve">TAXE COLLECTEE</t>
  </si>
  <si>
    <t xml:space="preserve">TAXE COLLECTEE SMALL WOR</t>
  </si>
  <si>
    <t xml:space="preserve">TAXE COLLECTEE WAVE</t>
  </si>
  <si>
    <t xml:space="preserve">TAXE COLLECTEE SUNUNAFA</t>
  </si>
  <si>
    <t xml:space="preserve">TAXE COLLECTEE XPRESS B.</t>
  </si>
  <si>
    <t xml:space="preserve">TAXE COLLECTEE BNB</t>
  </si>
  <si>
    <t xml:space="preserve">TAXE COM.ACEP/PAYMENT</t>
  </si>
  <si>
    <t xml:space="preserve">IMPOT SUR FONCIER BATI</t>
  </si>
  <si>
    <t xml:space="preserve">TOM SUR IMMEUBLE</t>
  </si>
  <si>
    <t xml:space="preserve">TVA SUR LOYER</t>
  </si>
  <si>
    <t xml:space="preserve">RETENUE SUR LOYER</t>
  </si>
  <si>
    <t xml:space="preserve">PART UBA</t>
  </si>
  <si>
    <t xml:space="preserve">PART COMMISSIONS GSIE</t>
  </si>
  <si>
    <t xml:space="preserve">PART COMMISSIONS APSFD</t>
  </si>
  <si>
    <t xml:space="preserve">ASSURANCE CARTE UBA</t>
  </si>
  <si>
    <t xml:space="preserve">GARANTIE INTOUCH</t>
  </si>
  <si>
    <t xml:space="preserve">ATTENTE FRAIS D'ACTE</t>
  </si>
  <si>
    <t xml:space="preserve">ATTENTE VIREMENT</t>
  </si>
  <si>
    <t xml:space="preserve">PLANET/CNAAS</t>
  </si>
  <si>
    <t xml:space="preserve">CLIENTS AMSA ASSURANCE</t>
  </si>
  <si>
    <t xml:space="preserve">ENVOI WESTERN UNION</t>
  </si>
  <si>
    <t xml:space="preserve">PAIEMENT MOBIL CASH</t>
  </si>
  <si>
    <t xml:space="preserve">ENVOI MONEY EXPRESS</t>
  </si>
  <si>
    <t xml:space="preserve">ENVOI MONEY GRAM</t>
  </si>
  <si>
    <t xml:space="preserve">ENVOI MOBIL CASH</t>
  </si>
  <si>
    <t xml:space="preserve">ENVOI WARI</t>
  </si>
  <si>
    <t xml:space="preserve">ENVOI JONI JONI</t>
  </si>
  <si>
    <t xml:space="preserve">ENVOI RIA</t>
  </si>
  <si>
    <t xml:space="preserve">ENVOI SMALL WORLD</t>
  </si>
  <si>
    <t xml:space="preserve">ENVOI XPRESS BANKING</t>
  </si>
  <si>
    <t xml:space="preserve">DEPOT CAURIDOR</t>
  </si>
  <si>
    <t xml:space="preserve">ENVOI BNB</t>
  </si>
  <si>
    <t xml:space="preserve">SOMMES A ENCAISSER</t>
  </si>
  <si>
    <t xml:space="preserve">MANQUANT CAISSE</t>
  </si>
  <si>
    <t xml:space="preserve">SURPLUS CAISSE</t>
  </si>
  <si>
    <t xml:space="preserve">CHARGES A REPARTIR</t>
  </si>
  <si>
    <t xml:space="preserve">CHARGES CONSTATEES D'AVA</t>
  </si>
  <si>
    <t xml:space="preserve">PRODUITS A RECEVOIR</t>
  </si>
  <si>
    <t xml:space="preserve">PRODUITS CONSTATES D'AVAN</t>
  </si>
  <si>
    <t xml:space="preserve">PRODUITS D'AVANCE PERSONN</t>
  </si>
  <si>
    <t xml:space="preserve">CHARGES A PAYER</t>
  </si>
  <si>
    <t xml:space="preserve">VIREMENT INTERNE</t>
  </si>
  <si>
    <t xml:space="preserve">VIREMENT INTERNE SIEGE</t>
  </si>
  <si>
    <t xml:space="preserve">LIAISON MBOUR - DAKAR</t>
  </si>
  <si>
    <t xml:space="preserve">LIAISON TOUBA-DAKAR</t>
  </si>
  <si>
    <t xml:space="preserve">LIAISON DAKAR KAOLACK</t>
  </si>
  <si>
    <t xml:space="preserve">LIAISON DAKAR ZIGUINCHOR</t>
  </si>
  <si>
    <t xml:space="preserve">LIAISON DAKAR-KOLDA</t>
  </si>
  <si>
    <t xml:space="preserve">LIAISON DAKAR ST LOUIS</t>
  </si>
  <si>
    <t xml:space="preserve">LIAISON DAKAR - DIOURBEL</t>
  </si>
  <si>
    <t xml:space="preserve">LIAISON OURO - DAKAR</t>
  </si>
  <si>
    <t xml:space="preserve">LIAISON DAKAR TAMBA</t>
  </si>
  <si>
    <t xml:space="preserve">LIAISON DAKAR THIES</t>
  </si>
  <si>
    <t xml:space="preserve">TAMPON COMM ENVOI M.G</t>
  </si>
  <si>
    <t xml:space="preserve">LIAISON MBOUR - SIEGE</t>
  </si>
  <si>
    <t xml:space="preserve">LIAISON TOUBA SIEGE</t>
  </si>
  <si>
    <t xml:space="preserve">DEMARRAGE MBOUR</t>
  </si>
  <si>
    <t xml:space="preserve">LIAISON MBOUR/TOUBA</t>
  </si>
  <si>
    <t xml:space="preserve">TAMPON COMM ENVOI W.U</t>
  </si>
  <si>
    <t xml:space="preserve">COMPTE DEMARRAGE TOUBA</t>
  </si>
  <si>
    <t xml:space="preserve">TAMPON COMMISSION RIA</t>
  </si>
  <si>
    <t xml:space="preserve">TAMPON COMM ENVOI M.EXPR</t>
  </si>
  <si>
    <t xml:space="preserve">TAMPON COMM JONI JONI</t>
  </si>
  <si>
    <t xml:space="preserve">TAMPON MOBIL CASH</t>
  </si>
  <si>
    <t xml:space="preserve">TAMPON COMMISSION WARI</t>
  </si>
  <si>
    <t xml:space="preserve">TAMPON COMMISSION SMALL</t>
  </si>
  <si>
    <t xml:space="preserve">TAMPON COMMISSION XPRESS</t>
  </si>
  <si>
    <t xml:space="preserve">TAMPON COMMISSION BNB</t>
  </si>
  <si>
    <t xml:space="preserve">COMPTE DEMARRAGE KAOLAC</t>
  </si>
  <si>
    <t xml:space="preserve">LIAISON SIEGE-KAOLACK</t>
  </si>
  <si>
    <t xml:space="preserve">LIAISON MBOUR - KAOLACK</t>
  </si>
  <si>
    <t xml:space="preserve">LIAISON KAOLACK/TOUBA</t>
  </si>
  <si>
    <t xml:space="preserve">LIAISON KAOLACK CASAMANC</t>
  </si>
  <si>
    <t xml:space="preserve">LIAISON KOLDA KAOLACK</t>
  </si>
  <si>
    <t xml:space="preserve">LIAISON ST LOUIS KAOLACK</t>
  </si>
  <si>
    <t xml:space="preserve">LIAISON SL KK</t>
  </si>
  <si>
    <t xml:space="preserve">LIAISON DIOURBEL-KAOLACK</t>
  </si>
  <si>
    <t xml:space="preserve">LIAISON OURO - KAOLACK</t>
  </si>
  <si>
    <t xml:space="preserve">LIAISON TAMBA KAOLACK</t>
  </si>
  <si>
    <t xml:space="preserve">LIAISON THIES- KAOLACK</t>
  </si>
  <si>
    <t xml:space="preserve">DEMARRAGE ZIGUINCHOR</t>
  </si>
  <si>
    <t xml:space="preserve">LIAISON PIKINE-ZIG</t>
  </si>
  <si>
    <t xml:space="preserve">LIAISON SIEGE-ZIG</t>
  </si>
  <si>
    <t xml:space="preserve">LIAISON MBOUR - ZIGUINCHOR</t>
  </si>
  <si>
    <t xml:space="preserve">LIAISON ZIGUINCHOR/TOUBA</t>
  </si>
  <si>
    <t xml:space="preserve">LIAISON KOLDA ZIG</t>
  </si>
  <si>
    <t xml:space="preserve">LIAISON CASAMANCE ST LOUIS</t>
  </si>
  <si>
    <t xml:space="preserve">LIAISON DIOURBEL-ZIGUE</t>
  </si>
  <si>
    <t xml:space="preserve">LIAISON OURO/ZIGUINCHOR</t>
  </si>
  <si>
    <t xml:space="preserve">LIAISON T ZG</t>
  </si>
  <si>
    <t xml:space="preserve">DEMARRAGE ZIG/TAMBA</t>
  </si>
  <si>
    <t xml:space="preserve">LIAISON THIES - ZIGUINCHOR</t>
  </si>
  <si>
    <t xml:space="preserve">LIAISON PIKINE-KAOLACK</t>
  </si>
  <si>
    <t xml:space="preserve">LIAISON SIEGE-KOLDA</t>
  </si>
  <si>
    <t xml:space="preserve">LIAISON MBOUR - KOLDA</t>
  </si>
  <si>
    <t xml:space="preserve">LIAISON KOLDA/TOUBA</t>
  </si>
  <si>
    <t xml:space="preserve">LIAISON ST LOUIS KOLDA</t>
  </si>
  <si>
    <t xml:space="preserve">LIAISON DIOURBEL - KOLDA</t>
  </si>
  <si>
    <t xml:space="preserve">LIAISON OURO - KOLDA</t>
  </si>
  <si>
    <t xml:space="preserve">LIAISON KOLDA TB</t>
  </si>
  <si>
    <t xml:space="preserve">LIAISON THIES - KOLDA</t>
  </si>
  <si>
    <t xml:space="preserve">DEMARAGE ST LOUIS</t>
  </si>
  <si>
    <t xml:space="preserve">LIAISON PIKINE-ST-LOUIS</t>
  </si>
  <si>
    <t xml:space="preserve">LIAISON SIEGE-ST-LOUIS</t>
  </si>
  <si>
    <t xml:space="preserve">LIAISON MBOUR ST LOUIS</t>
  </si>
  <si>
    <t xml:space="preserve">LIAISON ST-LOUIS/TOUBA</t>
  </si>
  <si>
    <t xml:space="preserve">LIAISON DIOURBEL-ST LOUIS</t>
  </si>
  <si>
    <t xml:space="preserve">LIAISON ST LOUIS OUROSSOGU</t>
  </si>
  <si>
    <t xml:space="preserve">LIAISON ST LOUIS TAMBA</t>
  </si>
  <si>
    <t xml:space="preserve">LIAISON THIES - ST LOUIS</t>
  </si>
  <si>
    <t xml:space="preserve">DEMARRAGE DIOURBEL</t>
  </si>
  <si>
    <t xml:space="preserve">LIAISON PIKINE-DIOURBEL</t>
  </si>
  <si>
    <t xml:space="preserve">LIAISON SIEGE-DIOURBEL</t>
  </si>
  <si>
    <t xml:space="preserve">LIAISON MBOUR DIOURBEL</t>
  </si>
  <si>
    <t xml:space="preserve">LIAISON DIOURBEL/TOUBA</t>
  </si>
  <si>
    <t xml:space="preserve">LIAISON OURO - DIOURBEL</t>
  </si>
  <si>
    <t xml:space="preserve">LIAISON DIOURBEL-TAMBA</t>
  </si>
  <si>
    <t xml:space="preserve">LIAISON THIES - DIOURBEL</t>
  </si>
  <si>
    <t xml:space="preserve">DEMARRAGE OUROSSOGUI</t>
  </si>
  <si>
    <t xml:space="preserve">LIAISON PIKINE-OURO</t>
  </si>
  <si>
    <t xml:space="preserve">LIAISON SIEGE-OURO</t>
  </si>
  <si>
    <t xml:space="preserve">LIAISON MBOUR - OURO</t>
  </si>
  <si>
    <t xml:space="preserve">LIAISON OUROSSOGUI/TOUBA</t>
  </si>
  <si>
    <t xml:space="preserve">LIAISON OURO - TAMBA</t>
  </si>
  <si>
    <t xml:space="preserve">LIAISON PIKINE-TAMBA</t>
  </si>
  <si>
    <t xml:space="preserve">LIAISON SIEGE-TAMBA</t>
  </si>
  <si>
    <t xml:space="preserve">LIAISON MBOUR - TAMBA</t>
  </si>
  <si>
    <t xml:space="preserve">LIAISON TAMBA/TOUBA</t>
  </si>
  <si>
    <t xml:space="preserve">LIAISON THIES - TAMBA</t>
  </si>
  <si>
    <t xml:space="preserve">DEMARRAGE THIES</t>
  </si>
  <si>
    <t xml:space="preserve">LIAISON PIKINE-THIES</t>
  </si>
  <si>
    <t xml:space="preserve">LIAISON THIES - SIEGE</t>
  </si>
  <si>
    <t xml:space="preserve">LIAISON THIES - MBOUR</t>
  </si>
  <si>
    <t xml:space="preserve">LIAISON THIES/TOUBA</t>
  </si>
  <si>
    <t xml:space="preserve">PRETS SUBORDONNES A DURE</t>
  </si>
  <si>
    <t xml:space="preserve">TITRES DE PARTICIPATION</t>
  </si>
  <si>
    <t xml:space="preserve">TITRES DE PARTICIPATIONS AU</t>
  </si>
  <si>
    <t xml:space="preserve">PROVISION TITRES</t>
  </si>
  <si>
    <t xml:space="preserve">DEPOTS ET CAUTIONNEMENTS</t>
  </si>
  <si>
    <t xml:space="preserve">DEPOTS POUR L'ELECTRICITE</t>
  </si>
  <si>
    <t xml:space="preserve">DEPOTS POUR L'EAU</t>
  </si>
  <si>
    <t xml:space="preserve">DEPOTS PR LE TEL.LE TELEX. F</t>
  </si>
  <si>
    <t xml:space="preserve">AUTRES DEPOT ET CAUTIONN</t>
  </si>
  <si>
    <t xml:space="preserve">PROVISION DEPRECIATION DEP</t>
  </si>
  <si>
    <t xml:space="preserve">IMMOBILISATIONS EN COURS</t>
  </si>
  <si>
    <t xml:space="preserve">ACOMPTE SUR IMMOBILISATIO</t>
  </si>
  <si>
    <t xml:space="preserve">AGENCE.AMENAG. MAT EN CO</t>
  </si>
  <si>
    <t xml:space="preserve">CONCESSIONS BREVETS LOGIC</t>
  </si>
  <si>
    <t xml:space="preserve">AMORTISSEMENT IMMO INCOR</t>
  </si>
  <si>
    <t xml:space="preserve">TERRAINS</t>
  </si>
  <si>
    <t xml:space="preserve">TERRAINS BATIS</t>
  </si>
  <si>
    <t xml:space="preserve">CONSTRUCTIONS</t>
  </si>
  <si>
    <t xml:space="preserve">INSTALLATIONS TECHNIQUES</t>
  </si>
  <si>
    <t xml:space="preserve">AMENAGEMENT DE BUREAUX</t>
  </si>
  <si>
    <t xml:space="preserve">MATERIEL ET OUTILLAGE</t>
  </si>
  <si>
    <t xml:space="preserve">MATERIEL MOBILIER DE BURE</t>
  </si>
  <si>
    <t xml:space="preserve">MATERIEL INFORMATIQUE</t>
  </si>
  <si>
    <t xml:space="preserve">MATERIEL DE TRANSPORT</t>
  </si>
  <si>
    <t xml:space="preserve">AMORTISSEMENT CONSTRUCT</t>
  </si>
  <si>
    <t xml:space="preserve">AMORTISSEMENTS INSTALL TE</t>
  </si>
  <si>
    <t xml:space="preserve">AMORTISSEMENTS AMENAG B</t>
  </si>
  <si>
    <t xml:space="preserve">AMORTISSEMENT MATERIEL O</t>
  </si>
  <si>
    <t xml:space="preserve">AMORTISSEMENT MMB</t>
  </si>
  <si>
    <t xml:space="preserve">AMORTISSEMENT MATERIEL IN</t>
  </si>
  <si>
    <t xml:space="preserve">AMORTISSEMENT MAT. TRANS</t>
  </si>
  <si>
    <t xml:space="preserve">TERRAINS NUS ACQ PAR REAL</t>
  </si>
  <si>
    <t xml:space="preserve">IMMO CORP. REAL. GARANTIES</t>
  </si>
  <si>
    <t xml:space="preserve">AMORT IMMOB REAL EN GARA</t>
  </si>
  <si>
    <t xml:space="preserve">AMORTISSEMENTS DES TERRA</t>
  </si>
  <si>
    <t xml:space="preserve">SUBVENTIONS D'INVESTISSEM</t>
  </si>
  <si>
    <t xml:space="preserve">GUICHET/FONDS DEVELOP/INV</t>
  </si>
  <si>
    <t xml:space="preserve">SUBV. INVEST. DYNA</t>
  </si>
  <si>
    <t xml:space="preserve">LIQUIDATION SINISTRE</t>
  </si>
  <si>
    <t xml:space="preserve">FONDS DE SECURITE</t>
  </si>
  <si>
    <t xml:space="preserve">AUTRES FONDS AFFECTES</t>
  </si>
  <si>
    <t xml:space="preserve">SUBV. FONDS CRDT DYNA</t>
  </si>
  <si>
    <t xml:space="preserve">PROVISION RETRAITE</t>
  </si>
  <si>
    <t xml:space="preserve">PROVISION PERTES ET CHARGE</t>
  </si>
  <si>
    <t xml:space="preserve">PROVISION RISQUE ENTRETIEN</t>
  </si>
  <si>
    <t xml:space="preserve">PROVISIONS POUR RISQES ET C</t>
  </si>
  <si>
    <t xml:space="preserve">EMPRUNT SUBORDONNÉ KFW</t>
  </si>
  <si>
    <t xml:space="preserve">EMP.SUB A DUREE INDETERMI</t>
  </si>
  <si>
    <t xml:space="preserve">DETTES RAT PRETS SUBORDON</t>
  </si>
  <si>
    <t xml:space="preserve">PROV RISQUE FINAN GENERAU</t>
  </si>
  <si>
    <t xml:space="preserve">RESERVE GENERALE</t>
  </si>
  <si>
    <t xml:space="preserve">RESERVE FACULTATIVE</t>
  </si>
  <si>
    <t xml:space="preserve">AUTRES RESERVES</t>
  </si>
  <si>
    <t xml:space="preserve">RESERVE FONDS DE SOLIDARIT</t>
  </si>
  <si>
    <t xml:space="preserve">FONDS DE DOTATION</t>
  </si>
  <si>
    <t xml:space="preserve">CAPITAL SOCIAL</t>
  </si>
  <si>
    <t xml:space="preserve">CAPITAL SOCIAL MUTUELLES</t>
  </si>
  <si>
    <t xml:space="preserve">PARTS SOCIALES</t>
  </si>
  <si>
    <t xml:space="preserve">REPORT A NOUVEAU</t>
  </si>
  <si>
    <t xml:space="preserve">RESULTAT DE L'EXERCICE</t>
  </si>
  <si>
    <t xml:space="preserve">EXCEDENT DE L'EXERCICE</t>
  </si>
  <si>
    <t xml:space="preserve">DEFICIT DE L'EXERCICE</t>
  </si>
  <si>
    <t xml:space="preserve">EXCEDENT OU DEFICIT EXCEPT</t>
  </si>
  <si>
    <t xml:space="preserve">INT SUR DEPOT A TERME INST</t>
  </si>
  <si>
    <t xml:space="preserve">INTERETS EMPRUNTS C.T.</t>
  </si>
  <si>
    <t xml:space="preserve">INTERETS EMPRUNTS A TERME</t>
  </si>
  <si>
    <t xml:space="preserve">INTERETS SUR EMPRUNTS A TE</t>
  </si>
  <si>
    <t xml:space="preserve">COMMISSIONS PAYEES</t>
  </si>
  <si>
    <t xml:space="preserve">ADHESION/COTISATIONS VERS</t>
  </si>
  <si>
    <t xml:space="preserve">CHARGES DE GROUPE IMPUTEE</t>
  </si>
  <si>
    <t xml:space="preserve">COTISATIONS VERSES AUX I.F.</t>
  </si>
  <si>
    <t xml:space="preserve">INTERETS SUR DEPOTS A VUE</t>
  </si>
  <si>
    <t xml:space="preserve">INTERETS EPARGNE PROJET</t>
  </si>
  <si>
    <t xml:space="preserve">INTERETS CAT DEE 3 À 6 MOIS</t>
  </si>
  <si>
    <t xml:space="preserve">INTERETS CAT DE 6 A 12 MOIS</t>
  </si>
  <si>
    <t xml:space="preserve">INTETETS CAT PLUS DE 12 MOI</t>
  </si>
  <si>
    <t xml:space="preserve">INTERETS DAT INSTITUTIONNE</t>
  </si>
  <si>
    <t xml:space="preserve">INTERETS EPARGNE SPECIALE</t>
  </si>
  <si>
    <t xml:space="preserve">AUTRES INTERETS PAYES</t>
  </si>
  <si>
    <t xml:space="preserve">COTISATIONS APSFD</t>
  </si>
  <si>
    <t xml:space="preserve">CHARGES SUR EMPRUNTS DUR</t>
  </si>
  <si>
    <t xml:space="preserve">CHARGES EMPRUNTS DUREE M</t>
  </si>
  <si>
    <t xml:space="preserve">CHARGES SUR MOYENS DE PAI</t>
  </si>
  <si>
    <t xml:space="preserve">SERVICES BANCAIRES</t>
  </si>
  <si>
    <t xml:space="preserve">AUT. CHARGES PRESTATIONS D</t>
  </si>
  <si>
    <t xml:space="preserve">CARBURANTS ET LUBRIFIANTS</t>
  </si>
  <si>
    <t xml:space="preserve">EAU ELECTRICITE</t>
  </si>
  <si>
    <t xml:space="preserve">ELECTRICITE</t>
  </si>
  <si>
    <t xml:space="preserve">MATIERES ET FOURNITURES C</t>
  </si>
  <si>
    <t xml:space="preserve">AUTRES CHARGES</t>
  </si>
  <si>
    <t xml:space="preserve">VARIATION DE STOCKS</t>
  </si>
  <si>
    <t xml:space="preserve">LOYER CHARGES LOCATIVES</t>
  </si>
  <si>
    <t xml:space="preserve">ENTRETIEN REPARATION</t>
  </si>
  <si>
    <t xml:space="preserve">PRIMES D'ASSURANCE</t>
  </si>
  <si>
    <t xml:space="preserve">FORMATION ETUDE RECHERCH</t>
  </si>
  <si>
    <t xml:space="preserve">FRAIS FORMATION PERSONNEL</t>
  </si>
  <si>
    <t xml:space="preserve">FRAIS FORMATION MEMBRES</t>
  </si>
  <si>
    <t xml:space="preserve">FRAIS FORMATION ELUS</t>
  </si>
  <si>
    <t xml:space="preserve">FRAIS DE GARDIENNAGE</t>
  </si>
  <si>
    <t xml:space="preserve">INDEMNITE PERSONNEL EXTER</t>
  </si>
  <si>
    <t xml:space="preserve">HONORAIRES ET FRAIS D'ACTE</t>
  </si>
  <si>
    <t xml:space="preserve">PUBLICITE ET RELATIONS PUB</t>
  </si>
  <si>
    <t xml:space="preserve">TRANSPORT ET DEPLACEMENT</t>
  </si>
  <si>
    <t xml:space="preserve">HEBERGEMENT RESTAURATIO</t>
  </si>
  <si>
    <t xml:space="preserve">MISSIONS</t>
  </si>
  <si>
    <t xml:space="preserve">RECEPTIONS</t>
  </si>
  <si>
    <t xml:space="preserve">POSTE ET TELECOMUNICATION</t>
  </si>
  <si>
    <t xml:space="preserve">REDEVANCES POUR CONCESSI</t>
  </si>
  <si>
    <t xml:space="preserve">PERDIEM</t>
  </si>
  <si>
    <t xml:space="preserve">TRANSPORT</t>
  </si>
  <si>
    <t xml:space="preserve">HEBERGEMENT</t>
  </si>
  <si>
    <t xml:space="preserve">TELEPHONE</t>
  </si>
  <si>
    <t xml:space="preserve">CARBURANT</t>
  </si>
  <si>
    <t xml:space="preserve">AUTRES</t>
  </si>
  <si>
    <t xml:space="preserve">MOINS-VALUES DE CESSION SU</t>
  </si>
  <si>
    <t xml:space="preserve">DONS</t>
  </si>
  <si>
    <t xml:space="preserve">C.F.C.E.</t>
  </si>
  <si>
    <t xml:space="preserve">TAXES SUR LES SALAIRES</t>
  </si>
  <si>
    <t xml:space="preserve">TAXES FONCIERESTAXES VEHI</t>
  </si>
  <si>
    <t xml:space="preserve">IMPOTS INDIRECTS</t>
  </si>
  <si>
    <t xml:space="preserve">DROITS ENRIST.TIMBRES FISCA</t>
  </si>
  <si>
    <t xml:space="preserve">AUTRES IMPOTS ET TAXES</t>
  </si>
  <si>
    <t xml:space="preserve">AUTRES IMPOTS ET TAXESVER</t>
  </si>
  <si>
    <t xml:space="preserve">SALAIRES ET APPOINTEMENTS</t>
  </si>
  <si>
    <t xml:space="preserve">INDEMNITES</t>
  </si>
  <si>
    <t xml:space="preserve">PRIMES</t>
  </si>
  <si>
    <t xml:space="preserve">ASSURANCES INDEMNITE</t>
  </si>
  <si>
    <t xml:space="preserve">RACHAT INDEMNITES</t>
  </si>
  <si>
    <t xml:space="preserve">CHARGES IPRES</t>
  </si>
  <si>
    <t xml:space="preserve">CHARGES C.S.S.</t>
  </si>
  <si>
    <t xml:space="preserve">CHARGES I.P.M.</t>
  </si>
  <si>
    <t xml:space="preserve">AUTRES OEUVRES SOCIALES</t>
  </si>
  <si>
    <t xml:space="preserve">CHARGES SOCIALES ASSURAN</t>
  </si>
  <si>
    <t xml:space="preserve">REMUNERAT.VERSE AUX STAG</t>
  </si>
  <si>
    <t xml:space="preserve">DOT AU PROV RIS FINANCIERS</t>
  </si>
  <si>
    <t xml:space="preserve">DOTATION AMORTIS INCORPO</t>
  </si>
  <si>
    <t xml:space="preserve">DOTATION AMORTISS CORPOR</t>
  </si>
  <si>
    <t xml:space="preserve">DOTATIONS AMORT REAL GAR</t>
  </si>
  <si>
    <t xml:space="preserve">DOT AMORT CHARGE A REPAR</t>
  </si>
  <si>
    <t xml:space="preserve">DOTATION/PROV 3 A 6 MOIS</t>
  </si>
  <si>
    <t xml:space="preserve">DOTATION /PROV CREANCES 3</t>
  </si>
  <si>
    <t xml:space="preserve">DOTATION PROV 6 A 12 MOIS</t>
  </si>
  <si>
    <t xml:space="preserve">DOTATION /PROV CREANCES 6</t>
  </si>
  <si>
    <t xml:space="preserve">DOTATION PROV PLUS DE12 MO</t>
  </si>
  <si>
    <t xml:space="preserve">DOTATION PROV CREANCE PLU</t>
  </si>
  <si>
    <t xml:space="preserve">DOTATIONS/ PROV ELTS ACTIF</t>
  </si>
  <si>
    <t xml:space="preserve">DOTATION PROV PERTE CHARG</t>
  </si>
  <si>
    <t xml:space="preserve">DOTATION PROVISIO RISQUE</t>
  </si>
  <si>
    <t xml:space="preserve">PERTE SUR CREANCE</t>
  </si>
  <si>
    <t xml:space="preserve">PERTES SUR CREANCES CLTS</t>
  </si>
  <si>
    <t xml:space="preserve">AUTRES CHAGRES EXCEPTION</t>
  </si>
  <si>
    <t xml:space="preserve">PERTES RESUL ECART SUR CAI</t>
  </si>
  <si>
    <t xml:space="preserve">CHARGES DIVERSES</t>
  </si>
  <si>
    <t xml:space="preserve">IMPOTS SUR LES EXCEDENTS</t>
  </si>
  <si>
    <t xml:space="preserve">INTERETS SUR DAT</t>
  </si>
  <si>
    <t xml:space="preserve">INTERETS SUR PRETS A TERME</t>
  </si>
  <si>
    <t xml:space="preserve">COTISATIONS ET DROITS ADHE</t>
  </si>
  <si>
    <t xml:space="preserve">AUTRES COMMISSIONS</t>
  </si>
  <si>
    <t xml:space="preserve">INTERETS CREDITS C.T.</t>
  </si>
  <si>
    <t xml:space="preserve">AUTRES INTERETS PERCUS</t>
  </si>
  <si>
    <t xml:space="preserve">INTERETS CREDITS M.T.</t>
  </si>
  <si>
    <t xml:space="preserve">INT CREDIT AU PERS.A MOYEN</t>
  </si>
  <si>
    <t xml:space="preserve">INTERETS SUR CREDIT L.T.</t>
  </si>
  <si>
    <t xml:space="preserve">INT CREDIT PERS A LG TERME</t>
  </si>
  <si>
    <t xml:space="preserve">INTERETS SUR COMPTE COURA</t>
  </si>
  <si>
    <t xml:space="preserve">PENALITES</t>
  </si>
  <si>
    <t xml:space="preserve">INTERETS SUR PENALITES</t>
  </si>
  <si>
    <t xml:space="preserve">DROITS D'ADHESION</t>
  </si>
  <si>
    <t xml:space="preserve">COMMISIONS GRL</t>
  </si>
  <si>
    <t xml:space="preserve">MONEY GRAM COMMISSIONS S</t>
  </si>
  <si>
    <t xml:space="preserve">RIA COMMISSIONS DAKAR SIEG</t>
  </si>
  <si>
    <t xml:space="preserve">COMMISSIONS MONEY EXPRES</t>
  </si>
  <si>
    <t xml:space="preserve">COMMISSION ACEP</t>
  </si>
  <si>
    <t xml:space="preserve">COMMISSIONS W.U</t>
  </si>
  <si>
    <t xml:space="preserve">COMMISSIONS JONI JONI</t>
  </si>
  <si>
    <t xml:space="preserve">COMMISSIONS WARI</t>
  </si>
  <si>
    <t xml:space="preserve">COMMISSIONS SWALL WORLD</t>
  </si>
  <si>
    <t xml:space="preserve">FRAIS SUR AVANCE PEP</t>
  </si>
  <si>
    <t xml:space="preserve">COMMISSION RETRAIT DEPLAC</t>
  </si>
  <si>
    <t xml:space="preserve">COMMISSION VERSEMENT DEP</t>
  </si>
  <si>
    <t xml:space="preserve">COTISATIONS MUTUALISTES</t>
  </si>
  <si>
    <t xml:space="preserve">COMMISSION REPORT D'ECHEA</t>
  </si>
  <si>
    <t xml:space="preserve">COMMISSIONS XPRESS BANKIN</t>
  </si>
  <si>
    <t xml:space="preserve">COMMISSION BNB</t>
  </si>
  <si>
    <t xml:space="preserve">PRODUITS ET PROFITS SUR TIT</t>
  </si>
  <si>
    <t xml:space="preserve">PRODUITS ET PROFITS SUR PRE</t>
  </si>
  <si>
    <t xml:space="preserve">PRODUIT SUR ENGAGEMENT</t>
  </si>
  <si>
    <t xml:space="preserve">COMMISSION ACQUISE SUR LE</t>
  </si>
  <si>
    <t xml:space="preserve">VENTES CARTES UBA</t>
  </si>
  <si>
    <t xml:space="preserve">COMMISSION CARTE UBA</t>
  </si>
  <si>
    <t xml:space="preserve">CIONS BANQUE 2 WALLET</t>
  </si>
  <si>
    <t xml:space="preserve">COMMISSION INTERCO WAVE</t>
  </si>
  <si>
    <t xml:space="preserve">CIONS RESEAUX D'AGENTS</t>
  </si>
  <si>
    <t xml:space="preserve">COMMISSIONS ORANGE MONE</t>
  </si>
  <si>
    <t xml:space="preserve">COMMISSIONS VIREMENTS</t>
  </si>
  <si>
    <t xml:space="preserve">COMMISSIONS WAVE</t>
  </si>
  <si>
    <t xml:space="preserve">COMMISSIONS VIREMENTS SUN</t>
  </si>
  <si>
    <t xml:space="preserve">PART COM.ACEP/PAYMENT</t>
  </si>
  <si>
    <t xml:space="preserve">PRODUITS CESSION ELEMENTS</t>
  </si>
  <si>
    <t xml:space="preserve">REVENUS DES IMMEUBLES HO</t>
  </si>
  <si>
    <t xml:space="preserve">CHARGES DE GROUPE RETROC</t>
  </si>
  <si>
    <t xml:space="preserve">CHARGES REFACTUREES</t>
  </si>
  <si>
    <t xml:space="preserve">CHARGES A REP SUR +SIEURS E</t>
  </si>
  <si>
    <t xml:space="preserve">ABONNEMENT ACEP CONNECT</t>
  </si>
  <si>
    <t xml:space="preserve">COMMISSION ACEP CONNECT</t>
  </si>
  <si>
    <t xml:space="preserve">COMMISSION RELEVE COMPTE</t>
  </si>
  <si>
    <t xml:space="preserve">ATTESTATION DE NON ENGAG</t>
  </si>
  <si>
    <t xml:space="preserve">ATTESTATION REGUL CHEQ IM</t>
  </si>
  <si>
    <t xml:space="preserve">ATTESTATION D'ENGAGEMENT</t>
  </si>
  <si>
    <t xml:space="preserve">ATTEST CAPACITE FINANCIER</t>
  </si>
  <si>
    <t xml:space="preserve">SUBVENTION D'EXPLOITATION</t>
  </si>
  <si>
    <t xml:space="preserve">REPRISE/PROV DE 3 A 6 MOIS</t>
  </si>
  <si>
    <t xml:space="preserve">REPRISES PROV/CREA 3 A 6 MO</t>
  </si>
  <si>
    <t xml:space="preserve">REPRISES/PROV DE 6 A 12 MOIS</t>
  </si>
  <si>
    <t xml:space="preserve">REPRISES PROV/CREA 6 A 12 M</t>
  </si>
  <si>
    <t xml:space="preserve">REPRISE/PROV PLUS DE 12 MOI</t>
  </si>
  <si>
    <t xml:space="preserve">REPRISES PROV/CRE.12 A 24 MO</t>
  </si>
  <si>
    <t xml:space="preserve">REPRISE PROV. RISQUE ENTRET</t>
  </si>
  <si>
    <t xml:space="preserve">REPRISES PROVISIONS RETRAIT</t>
  </si>
  <si>
    <t xml:space="preserve">AUTRES REPRISES PROVISION</t>
  </si>
  <si>
    <t xml:space="preserve">RECUP. SUR CREANCES AMOR</t>
  </si>
  <si>
    <t xml:space="preserve">QUOTE PART SUBVENTION</t>
  </si>
  <si>
    <t xml:space="preserve">PRODUITS RESULT ECART/CAI</t>
  </si>
  <si>
    <t xml:space="preserve">PRODUIT RESULT/ECART SUR D</t>
  </si>
  <si>
    <t xml:space="preserve">AUTRES PRODUITS EXCEPTION</t>
  </si>
  <si>
    <t xml:space="preserve">PROFITS EXCEPTIONNELS</t>
  </si>
  <si>
    <t xml:space="preserve">COMPTE HB BIJOUX</t>
  </si>
  <si>
    <t xml:space="preserve">COMPTE HB MATERIEL ET OUT</t>
  </si>
  <si>
    <t xml:space="preserve">COMPTE HB AVAL</t>
  </si>
  <si>
    <t xml:space="preserve">NANTISSEMENT FONDS DE COM</t>
  </si>
  <si>
    <t xml:space="preserve">COMPTE HB HYPOTHEQUE</t>
  </si>
  <si>
    <t xml:space="preserve">CREDITS DIST CPTE DE TIERS</t>
  </si>
  <si>
    <t xml:space="preserve">RESSOURCES AFFECT CPT DE T</t>
  </si>
  <si>
    <t xml:space="preserve">COMPTE DE CONTREPARTIE HB</t>
  </si>
  <si>
    <t xml:space="preserve">COMPTE DE CONTRE PARTIE H</t>
  </si>
  <si>
    <t xml:space="preserve">ENGAGEMENTS DOUTEUX</t>
  </si>
  <si>
    <t xml:space="preserve">Source : Balance des comptes consolidée, période du 01/01/2026 au 31/07/2026, tirage du 31/08/2026 (fichier PDF fourni). SOLDE = SOLDE_CUMULE_CREDIT - SOLDE_CUMULE_DEBIT (positif = solde créditeur, négatif = solde débiteur).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</si>
</sst>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601610000</v>
      </c>
      <c r="C2" s="2" t="s">
        <v>5</v>
      </c>
      <c r="D2" s="3" t="n">
        <f aca="false">IF(B2="","",IFERROR(INDEX(Balance!$E$2:$E$800,MATCH(B2,Balance!$A$2:$A$800,0)),"Non trouvé"))</f>
        <v>-118247811</v>
      </c>
    </row>
    <row r="3" customFormat="false" ht="15" hidden="false" customHeight="false" outlineLevel="0" collapsed="false">
      <c r="A3" s="2" t="s">
        <v>4</v>
      </c>
      <c r="B3" s="2" t="n">
        <v>602511000</v>
      </c>
      <c r="C3" s="2" t="s">
        <v>6</v>
      </c>
      <c r="D3" s="3" t="n">
        <f aca="false">IF(B3="","",IFERROR(INDEX(Balance!$E$2:$E$800,MATCH(B3,Balance!$A$2:$A$800,0)),"Non trouvé"))</f>
        <v>-2033</v>
      </c>
    </row>
    <row r="4" customFormat="false" ht="15" hidden="false" customHeight="false" outlineLevel="0" collapsed="false">
      <c r="A4" s="2" t="s">
        <v>4</v>
      </c>
      <c r="B4" s="2" t="n">
        <v>602520000</v>
      </c>
      <c r="C4" s="2" t="s">
        <v>7</v>
      </c>
      <c r="D4" s="3" t="n">
        <f aca="false">IF(B4="","",IFERROR(INDEX(Balance!$E$2:$E$800,MATCH(B4,Balance!$A$2:$A$800,0)),"Non trouvé"))</f>
        <v>-13362857</v>
      </c>
    </row>
    <row r="5" customFormat="false" ht="15" hidden="false" customHeight="false" outlineLevel="0" collapsed="false">
      <c r="A5" s="2" t="s">
        <v>4</v>
      </c>
      <c r="B5" s="2" t="n">
        <v>602521000</v>
      </c>
      <c r="C5" s="2" t="s">
        <v>8</v>
      </c>
      <c r="D5" s="3" t="n">
        <f aca="false">IF(B5="","",IFERROR(INDEX(Balance!$E$2:$E$800,MATCH(B5,Balance!$A$2:$A$800,0)),"Non trouvé"))</f>
        <v>-3000483</v>
      </c>
    </row>
    <row r="6" customFormat="false" ht="15" hidden="false" customHeight="false" outlineLevel="0" collapsed="false">
      <c r="A6" s="2" t="s">
        <v>4</v>
      </c>
      <c r="B6" s="2" t="n">
        <v>602522000</v>
      </c>
      <c r="C6" s="2" t="s">
        <v>9</v>
      </c>
      <c r="D6" s="3" t="n">
        <f aca="false">IF(B6="","",IFERROR(INDEX(Balance!$E$2:$E$800,MATCH(B6,Balance!$A$2:$A$800,0)),"Non trouvé"))</f>
        <v>-11068326</v>
      </c>
    </row>
    <row r="7" customFormat="false" ht="15" hidden="false" customHeight="false" outlineLevel="0" collapsed="false">
      <c r="A7" s="2" t="s">
        <v>4</v>
      </c>
      <c r="B7" s="2" t="n">
        <v>602523000</v>
      </c>
      <c r="C7" s="2" t="s">
        <v>10</v>
      </c>
      <c r="D7" s="3" t="n">
        <f aca="false">IF(B7="","",IFERROR(INDEX(Balance!$E$2:$E$800,MATCH(B7,Balance!$A$2:$A$800,0)),"Non trouvé"))</f>
        <v>-46250353</v>
      </c>
    </row>
    <row r="8" customFormat="false" ht="15" hidden="false" customHeight="false" outlineLevel="0" collapsed="false">
      <c r="A8" s="2" t="s">
        <v>4</v>
      </c>
      <c r="B8" s="2" t="n">
        <v>602524000</v>
      </c>
      <c r="C8" s="2" t="s">
        <v>11</v>
      </c>
      <c r="D8" s="3" t="n">
        <f aca="false">IF(B8="","",IFERROR(INDEX(Balance!$E$2:$E$800,MATCH(B8,Balance!$A$2:$A$800,0)),"Non trouvé"))</f>
        <v>-176016986</v>
      </c>
    </row>
    <row r="9" customFormat="false" ht="15" hidden="false" customHeight="false" outlineLevel="0" collapsed="false">
      <c r="A9" s="2" t="s">
        <v>4</v>
      </c>
      <c r="B9" s="2" t="n">
        <v>602531000</v>
      </c>
      <c r="C9" s="2" t="s">
        <v>12</v>
      </c>
      <c r="D9" s="3" t="n">
        <f aca="false">IF(B9="","",IFERROR(INDEX(Balance!$E$2:$E$800,MATCH(B9,Balance!$A$2:$A$800,0)),"Non trouvé"))</f>
        <v>-173815496</v>
      </c>
    </row>
    <row r="11" customFormat="false" ht="15" hidden="false" customHeight="false" outlineLevel="0" collapsed="false">
      <c r="A11" s="2" t="s">
        <v>13</v>
      </c>
      <c r="B11" s="2" t="n">
        <v>601750000</v>
      </c>
      <c r="C11" s="2" t="s">
        <v>14</v>
      </c>
      <c r="D11" s="3" t="n">
        <f aca="false">IF(B11="","",IFERROR(INDEX(Balance!$E$2:$E$800,MATCH(B11,Balance!$A$2:$A$800,0)),"Non trouvé"))</f>
        <v>0</v>
      </c>
    </row>
    <row r="12" customFormat="false" ht="15" hidden="false" customHeight="false" outlineLevel="0" collapsed="false">
      <c r="A12" s="2" t="s">
        <v>13</v>
      </c>
      <c r="B12" s="2" t="n">
        <v>601780000</v>
      </c>
      <c r="C12" s="2" t="s">
        <v>15</v>
      </c>
      <c r="D12" s="3" t="n">
        <f aca="false">IF(B12="","",IFERROR(INDEX(Balance!$E$2:$E$800,MATCH(B12,Balance!$A$2:$A$800,0)),"Non trouvé"))</f>
        <v>-2824459039</v>
      </c>
    </row>
    <row r="13" customFormat="false" ht="15" hidden="false" customHeight="false" outlineLevel="0" collapsed="false">
      <c r="A13" s="2" t="s">
        <v>13</v>
      </c>
      <c r="B13" s="2" t="n">
        <v>601781000</v>
      </c>
      <c r="C13" s="2" t="s">
        <v>16</v>
      </c>
      <c r="D13" s="3" t="n">
        <f aca="false">IF(B13="","",IFERROR(INDEX(Balance!$E$2:$E$800,MATCH(B13,Balance!$A$2:$A$800,0)),"Non trouvé"))</f>
        <v>-985339</v>
      </c>
    </row>
    <row r="14" customFormat="false" ht="15" hidden="false" customHeight="false" outlineLevel="0" collapsed="false">
      <c r="A14" s="2" t="s">
        <v>13</v>
      </c>
      <c r="B14" s="2" t="n">
        <v>601900000</v>
      </c>
      <c r="C14" s="2" t="s">
        <v>17</v>
      </c>
      <c r="D14" s="3" t="n">
        <f aca="false">IF(B14="","",IFERROR(INDEX(Balance!$E$2:$E$800,MATCH(B14,Balance!$A$2:$A$800,0)),"Non trouvé"))</f>
        <v>-213973114</v>
      </c>
    </row>
    <row r="15" customFormat="false" ht="15" hidden="false" customHeight="false" outlineLevel="0" collapsed="false">
      <c r="A15" s="2" t="s">
        <v>13</v>
      </c>
      <c r="B15" s="2" t="n">
        <v>601910000</v>
      </c>
      <c r="C15" s="2" t="s">
        <v>18</v>
      </c>
      <c r="D15" s="3" t="n">
        <f aca="false">IF(B15="","",IFERROR(INDEX(Balance!$E$2:$E$800,MATCH(B15,Balance!$A$2:$A$800,0)),"Non trouvé"))</f>
        <v>-255366078</v>
      </c>
    </row>
    <row r="16" customFormat="false" ht="15" hidden="false" customHeight="false" outlineLevel="0" collapsed="false">
      <c r="A16" s="2" t="s">
        <v>13</v>
      </c>
      <c r="B16" s="2" t="n">
        <v>601912000</v>
      </c>
      <c r="C16" s="2" t="s">
        <v>19</v>
      </c>
      <c r="D16" s="3" t="n">
        <f aca="false">IF(B16="","",IFERROR(INDEX(Balance!$E$2:$E$800,MATCH(B16,Balance!$A$2:$A$800,0)),"Non trouvé"))</f>
        <v>-55712122</v>
      </c>
    </row>
    <row r="17" customFormat="false" ht="15" hidden="false" customHeight="false" outlineLevel="0" collapsed="false">
      <c r="A17" s="2" t="s">
        <v>13</v>
      </c>
      <c r="B17" s="2" t="n">
        <v>602540000</v>
      </c>
      <c r="C17" s="2" t="s">
        <v>20</v>
      </c>
      <c r="D17" s="3" t="n">
        <f aca="false">IF(B17="","",IFERROR(INDEX(Balance!$E$2:$E$800,MATCH(B17,Balance!$A$2:$A$800,0)),"Non trouvé"))</f>
        <v>0</v>
      </c>
    </row>
    <row r="18" customFormat="false" ht="15" hidden="false" customHeight="false" outlineLevel="0" collapsed="false">
      <c r="A18" s="2" t="s">
        <v>13</v>
      </c>
      <c r="B18" s="2" t="n">
        <v>602910000</v>
      </c>
      <c r="C18" s="2" t="s">
        <v>21</v>
      </c>
      <c r="D18" s="3" t="n">
        <f aca="false">IF(B18="","",IFERROR(INDEX(Balance!$E$2:$E$800,MATCH(B18,Balance!$A$2:$A$800,0)),"Non trouvé"))</f>
        <v>-20000000</v>
      </c>
    </row>
    <row r="19" customFormat="false" ht="15" hidden="false" customHeight="false" outlineLevel="0" collapsed="false">
      <c r="A19" s="2" t="s">
        <v>13</v>
      </c>
      <c r="B19" s="2" t="n">
        <v>605322000</v>
      </c>
      <c r="C19" s="2" t="s">
        <v>22</v>
      </c>
      <c r="D19" s="3" t="n">
        <f aca="false">IF(B19="","",IFERROR(INDEX(Balance!$E$2:$E$800,MATCH(B19,Balance!$A$2:$A$800,0)),"Non trouvé"))</f>
        <v>-725865842</v>
      </c>
    </row>
    <row r="20" customFormat="false" ht="15" hidden="false" customHeight="false" outlineLevel="0" collapsed="false">
      <c r="A20" s="2" t="s">
        <v>13</v>
      </c>
      <c r="B20" s="2" t="n">
        <v>605322100</v>
      </c>
      <c r="C20" s="2" t="s">
        <v>23</v>
      </c>
      <c r="D20" s="3" t="n">
        <f aca="false">IF(B20="","",IFERROR(INDEX(Balance!$E$2:$E$800,MATCH(B20,Balance!$A$2:$A$800,0)),"Non trouvé"))</f>
        <v>-73892698</v>
      </c>
    </row>
    <row r="21" customFormat="false" ht="15" hidden="false" customHeight="false" outlineLevel="0" collapsed="false">
      <c r="A21" s="2" t="s">
        <v>13</v>
      </c>
      <c r="B21" s="2" t="n">
        <v>608100000</v>
      </c>
      <c r="C21" s="2" t="s">
        <v>24</v>
      </c>
      <c r="D21" s="3" t="n">
        <f aca="false">IF(B21="","",IFERROR(INDEX(Balance!$E$2:$E$800,MATCH(B21,Balance!$A$2:$A$800,0)),"Non trouvé"))</f>
        <v>0</v>
      </c>
    </row>
    <row r="22" customFormat="false" ht="15" hidden="false" customHeight="false" outlineLevel="0" collapsed="false">
      <c r="A22" s="2" t="s">
        <v>13</v>
      </c>
      <c r="B22" s="2" t="n">
        <v>608900000</v>
      </c>
      <c r="C22" s="2" t="s">
        <v>25</v>
      </c>
      <c r="D22" s="3" t="n">
        <f aca="false">IF(B22="","",IFERROR(INDEX(Balance!$E$2:$E$800,MATCH(B22,Balance!$A$2:$A$800,0)),"Non trouvé"))</f>
        <v>-120693032</v>
      </c>
    </row>
    <row r="23" customFormat="false" ht="15" hidden="false" customHeight="false" outlineLevel="0" collapsed="false">
      <c r="A23" s="2" t="s">
        <v>13</v>
      </c>
      <c r="B23" s="2" t="n">
        <v>608910000</v>
      </c>
      <c r="C23" s="2" t="s">
        <v>26</v>
      </c>
      <c r="D23" s="3" t="n">
        <f aca="false">IF(B23="","",IFERROR(INDEX(Balance!$E$2:$E$800,MATCH(B23,Balance!$A$2:$A$800,0)),"Non trouvé"))</f>
        <v>0</v>
      </c>
    </row>
    <row r="25" customFormat="false" ht="15" hidden="false" customHeight="false" outlineLevel="0" collapsed="false">
      <c r="A25" s="2" t="s">
        <v>27</v>
      </c>
      <c r="B25" s="2" t="n">
        <v>601911000</v>
      </c>
      <c r="C25" s="2" t="s">
        <v>28</v>
      </c>
      <c r="D25" s="3" t="n">
        <f aca="false">IF(B25="","",IFERROR(INDEX(Balance!$E$2:$E$800,MATCH(B25,Balance!$A$2:$A$800,0)),"Non trouvé"))</f>
        <v>-15760820242</v>
      </c>
    </row>
    <row r="27" customFormat="false" ht="15" hidden="false" customHeight="false" outlineLevel="0" collapsed="false">
      <c r="A27" s="2" t="s">
        <v>29</v>
      </c>
      <c r="B27" s="2" t="n">
        <v>621200000</v>
      </c>
      <c r="C27" s="2" t="s">
        <v>30</v>
      </c>
      <c r="D27" s="3" t="n">
        <f aca="false">IF(B27="","",IFERROR(INDEX(Balance!$E$2:$E$800,MATCH(B27,Balance!$A$2:$A$800,0)),"Non trouvé"))</f>
        <v>-445346885</v>
      </c>
    </row>
    <row r="29" customFormat="false" ht="15" hidden="false" customHeight="false" outlineLevel="0" collapsed="false">
      <c r="A29" s="2" t="s">
        <v>31</v>
      </c>
      <c r="B29" s="2" t="n">
        <v>611610000</v>
      </c>
      <c r="C29" s="2" t="s">
        <v>32</v>
      </c>
      <c r="D29" s="3" t="n">
        <f aca="false">IF(B29="","",IFERROR(INDEX(Balance!$E$2:$E$800,MATCH(B29,Balance!$A$2:$A$800,0)),"Non trouvé"))</f>
        <v>-293825138</v>
      </c>
    </row>
    <row r="30" customFormat="false" ht="15" hidden="false" customHeight="false" outlineLevel="0" collapsed="false">
      <c r="A30" s="2" t="s">
        <v>31</v>
      </c>
      <c r="B30" s="2" t="n">
        <v>611621000</v>
      </c>
      <c r="C30" s="2" t="s">
        <v>33</v>
      </c>
      <c r="D30" s="3" t="n">
        <f aca="false">IF(B30="","",IFERROR(INDEX(Balance!$E$2:$E$800,MATCH(B30,Balance!$A$2:$A$800,0)),"Non trouvé"))</f>
        <v>-29913273</v>
      </c>
    </row>
    <row r="31" customFormat="false" ht="15" hidden="false" customHeight="false" outlineLevel="0" collapsed="false">
      <c r="A31" s="2" t="s">
        <v>31</v>
      </c>
      <c r="B31" s="2" t="n">
        <v>611622000</v>
      </c>
      <c r="C31" s="2" t="s">
        <v>34</v>
      </c>
      <c r="D31" s="3" t="n">
        <f aca="false">IF(B31="","",IFERROR(INDEX(Balance!$E$2:$E$800,MATCH(B31,Balance!$A$2:$A$800,0)),"Non trouvé"))</f>
        <v>-311433381</v>
      </c>
    </row>
    <row r="32" customFormat="false" ht="15" hidden="false" customHeight="false" outlineLevel="0" collapsed="false">
      <c r="A32" s="2" t="s">
        <v>31</v>
      </c>
      <c r="B32" s="2" t="n">
        <v>611624000</v>
      </c>
      <c r="C32" s="2" t="s">
        <v>35</v>
      </c>
      <c r="D32" s="3" t="n">
        <f aca="false">IF(B32="","",IFERROR(INDEX(Balance!$E$2:$E$800,MATCH(B32,Balance!$A$2:$A$800,0)),"Non trouvé"))</f>
        <v>-162886226</v>
      </c>
    </row>
    <row r="33" customFormat="false" ht="15" hidden="false" customHeight="false" outlineLevel="0" collapsed="false">
      <c r="A33" s="2" t="s">
        <v>31</v>
      </c>
      <c r="B33" s="2" t="n">
        <v>611625000</v>
      </c>
      <c r="C33" s="2" t="s">
        <v>36</v>
      </c>
      <c r="D33" s="3" t="n">
        <f aca="false">IF(B33="","",IFERROR(INDEX(Balance!$E$2:$E$800,MATCH(B33,Balance!$A$2:$A$800,0)),"Non trouvé"))</f>
        <v>-1021055</v>
      </c>
    </row>
    <row r="34" customFormat="false" ht="15" hidden="false" customHeight="false" outlineLevel="0" collapsed="false">
      <c r="A34" s="2" t="s">
        <v>31</v>
      </c>
      <c r="B34" s="2" t="n">
        <v>612000000</v>
      </c>
      <c r="C34" s="2" t="s">
        <v>37</v>
      </c>
      <c r="D34" s="3" t="n">
        <f aca="false">IF(B34="","",IFERROR(INDEX(Balance!$E$2:$E$800,MATCH(B34,Balance!$A$2:$A$800,0)),"Non trouvé"))</f>
        <v>-500000</v>
      </c>
    </row>
    <row r="35" customFormat="false" ht="15" hidden="false" customHeight="false" outlineLevel="0" collapsed="false">
      <c r="A35" s="2" t="s">
        <v>31</v>
      </c>
      <c r="B35" s="2" t="n">
        <v>621400000</v>
      </c>
      <c r="C35" s="2" t="s">
        <v>38</v>
      </c>
      <c r="D35" s="3" t="n">
        <f aca="false">IF(B35="","",IFERROR(INDEX(Balance!$E$2:$E$800,MATCH(B35,Balance!$A$2:$A$800,0)),"Non trouvé"))</f>
        <v>-240159251</v>
      </c>
    </row>
    <row r="36" customFormat="false" ht="15" hidden="false" customHeight="false" outlineLevel="0" collapsed="false">
      <c r="A36" s="2" t="s">
        <v>31</v>
      </c>
      <c r="B36" s="2" t="n">
        <v>621500000</v>
      </c>
      <c r="C36" s="2" t="s">
        <v>39</v>
      </c>
      <c r="D36" s="3" t="n">
        <f aca="false">IF(B36="","",IFERROR(INDEX(Balance!$E$2:$E$800,MATCH(B36,Balance!$A$2:$A$800,0)),"Non trouvé"))</f>
        <v>-454922486</v>
      </c>
    </row>
    <row r="37" customFormat="false" ht="15" hidden="false" customHeight="false" outlineLevel="0" collapsed="false">
      <c r="A37" s="2" t="s">
        <v>31</v>
      </c>
      <c r="B37" s="2" t="n">
        <v>621600000</v>
      </c>
      <c r="C37" s="2" t="s">
        <v>40</v>
      </c>
      <c r="D37" s="3" t="n">
        <f aca="false">IF(B37="","",IFERROR(INDEX(Balance!$E$2:$E$800,MATCH(B37,Balance!$A$2:$A$800,0)),"Non trouvé"))</f>
        <v>-2893407</v>
      </c>
    </row>
    <row r="38" customFormat="false" ht="15" hidden="false" customHeight="false" outlineLevel="0" collapsed="false">
      <c r="A38" s="2" t="s">
        <v>31</v>
      </c>
      <c r="B38" s="2" t="n">
        <v>621710000</v>
      </c>
      <c r="C38" s="2" t="s">
        <v>41</v>
      </c>
      <c r="D38" s="3" t="n">
        <f aca="false">IF(B38="","",IFERROR(INDEX(Balance!$E$2:$E$800,MATCH(B38,Balance!$A$2:$A$800,0)),"Non trouvé"))</f>
        <v>-122283519</v>
      </c>
    </row>
    <row r="39" customFormat="false" ht="15" hidden="false" customHeight="false" outlineLevel="0" collapsed="false">
      <c r="A39" s="2" t="s">
        <v>31</v>
      </c>
      <c r="B39" s="2" t="n">
        <v>621720000</v>
      </c>
      <c r="C39" s="2" t="s">
        <v>42</v>
      </c>
      <c r="D39" s="3" t="n">
        <f aca="false">IF(B39="","",IFERROR(INDEX(Balance!$E$2:$E$800,MATCH(B39,Balance!$A$2:$A$800,0)),"Non trouvé"))</f>
        <v>0</v>
      </c>
    </row>
    <row r="40" customFormat="false" ht="15" hidden="false" customHeight="false" outlineLevel="0" collapsed="false">
      <c r="A40" s="2" t="s">
        <v>31</v>
      </c>
      <c r="B40" s="2" t="n">
        <v>621730000</v>
      </c>
      <c r="C40" s="2" t="s">
        <v>43</v>
      </c>
      <c r="D40" s="3" t="n">
        <f aca="false">IF(B40="","",IFERROR(INDEX(Balance!$E$2:$E$800,MATCH(B40,Balance!$A$2:$A$800,0)),"Non trouvé"))</f>
        <v>-14704500</v>
      </c>
    </row>
    <row r="41" customFormat="false" ht="15" hidden="false" customHeight="false" outlineLevel="0" collapsed="false">
      <c r="A41" s="2" t="s">
        <v>31</v>
      </c>
      <c r="B41" s="2" t="n">
        <v>622110000</v>
      </c>
      <c r="C41" s="2" t="s">
        <v>44</v>
      </c>
      <c r="D41" s="3" t="n">
        <f aca="false">IF(B41="","",IFERROR(INDEX(Balance!$E$2:$E$800,MATCH(B41,Balance!$A$2:$A$800,0)),"Non trouvé"))</f>
        <v>-486364849</v>
      </c>
    </row>
    <row r="42" customFormat="false" ht="15" hidden="false" customHeight="false" outlineLevel="0" collapsed="false">
      <c r="A42" s="2" t="s">
        <v>31</v>
      </c>
      <c r="B42" s="2" t="n">
        <v>622120000</v>
      </c>
      <c r="C42" s="2" t="s">
        <v>45</v>
      </c>
      <c r="D42" s="3" t="n">
        <f aca="false">IF(B42="","",IFERROR(INDEX(Balance!$E$2:$E$800,MATCH(B42,Balance!$A$2:$A$800,0)),"Non trouvé"))</f>
        <v>-933375</v>
      </c>
    </row>
    <row r="43" customFormat="false" ht="15" hidden="false" customHeight="false" outlineLevel="0" collapsed="false">
      <c r="A43" s="2" t="s">
        <v>31</v>
      </c>
      <c r="B43" s="2" t="n">
        <v>622200000</v>
      </c>
      <c r="C43" s="2" t="s">
        <v>46</v>
      </c>
      <c r="D43" s="3" t="n">
        <f aca="false">IF(B43="","",IFERROR(INDEX(Balance!$E$2:$E$800,MATCH(B43,Balance!$A$2:$A$800,0)),"Non trouvé"))</f>
        <v>-670535237</v>
      </c>
    </row>
    <row r="44" customFormat="false" ht="15" hidden="false" customHeight="false" outlineLevel="0" collapsed="false">
      <c r="A44" s="2" t="s">
        <v>31</v>
      </c>
      <c r="B44" s="2" t="n">
        <v>622300000</v>
      </c>
      <c r="C44" s="2" t="s">
        <v>47</v>
      </c>
      <c r="D44" s="3" t="n">
        <f aca="false">IF(B44="","",IFERROR(INDEX(Balance!$E$2:$E$800,MATCH(B44,Balance!$A$2:$A$800,0)),"Non trouvé"))</f>
        <v>-208814550</v>
      </c>
    </row>
    <row r="45" customFormat="false" ht="15" hidden="false" customHeight="false" outlineLevel="0" collapsed="false">
      <c r="A45" s="2" t="s">
        <v>31</v>
      </c>
      <c r="B45" s="2" t="n">
        <v>622400000</v>
      </c>
      <c r="C45" s="2" t="s">
        <v>48</v>
      </c>
      <c r="D45" s="3" t="n">
        <f aca="false">IF(B45="","",IFERROR(INDEX(Balance!$E$2:$E$800,MATCH(B45,Balance!$A$2:$A$800,0)),"Non trouvé"))</f>
        <v>-58724009</v>
      </c>
    </row>
    <row r="46" customFormat="false" ht="15" hidden="false" customHeight="false" outlineLevel="0" collapsed="false">
      <c r="A46" s="2" t="s">
        <v>31</v>
      </c>
      <c r="B46" s="2" t="n">
        <v>622610000</v>
      </c>
      <c r="C46" s="2" t="s">
        <v>49</v>
      </c>
      <c r="D46" s="3" t="n">
        <f aca="false">IF(B46="","",IFERROR(INDEX(Balance!$E$2:$E$800,MATCH(B46,Balance!$A$2:$A$800,0)),"Non trouvé"))</f>
        <v>-139453828</v>
      </c>
    </row>
    <row r="47" customFormat="false" ht="15" hidden="false" customHeight="false" outlineLevel="0" collapsed="false">
      <c r="A47" s="2" t="s">
        <v>31</v>
      </c>
      <c r="B47" s="2" t="n">
        <v>622620000</v>
      </c>
      <c r="C47" s="2" t="s">
        <v>50</v>
      </c>
      <c r="D47" s="3" t="n">
        <f aca="false">IF(B47="","",IFERROR(INDEX(Balance!$E$2:$E$800,MATCH(B47,Balance!$A$2:$A$800,0)),"Non trouvé"))</f>
        <v>-26728207</v>
      </c>
    </row>
    <row r="48" customFormat="false" ht="15" hidden="false" customHeight="false" outlineLevel="0" collapsed="false">
      <c r="A48" s="2" t="s">
        <v>31</v>
      </c>
      <c r="B48" s="2" t="n">
        <v>622630000</v>
      </c>
      <c r="C48" s="2" t="s">
        <v>51</v>
      </c>
      <c r="D48" s="3" t="n">
        <f aca="false">IF(B48="","",IFERROR(INDEX(Balance!$E$2:$E$800,MATCH(B48,Balance!$A$2:$A$800,0)),"Non trouvé"))</f>
        <v>-4071044</v>
      </c>
    </row>
    <row r="49" customFormat="false" ht="15" hidden="false" customHeight="false" outlineLevel="0" collapsed="false">
      <c r="A49" s="2" t="s">
        <v>31</v>
      </c>
      <c r="B49" s="2" t="n">
        <v>622700000</v>
      </c>
      <c r="C49" s="2" t="s">
        <v>52</v>
      </c>
      <c r="D49" s="3" t="n">
        <f aca="false">IF(B49="","",IFERROR(INDEX(Balance!$E$2:$E$800,MATCH(B49,Balance!$A$2:$A$800,0)),"Non trouvé"))</f>
        <v>-329222495</v>
      </c>
    </row>
    <row r="50" customFormat="false" ht="15" hidden="false" customHeight="false" outlineLevel="0" collapsed="false">
      <c r="A50" s="2" t="s">
        <v>31</v>
      </c>
      <c r="B50" s="2" t="n">
        <v>623100000</v>
      </c>
      <c r="C50" s="2" t="s">
        <v>53</v>
      </c>
      <c r="D50" s="3" t="n">
        <f aca="false">IF(B50="","",IFERROR(INDEX(Balance!$E$2:$E$800,MATCH(B50,Balance!$A$2:$A$800,0)),"Non trouvé"))</f>
        <v>-35206165</v>
      </c>
    </row>
    <row r="51" customFormat="false" ht="15" hidden="false" customHeight="false" outlineLevel="0" collapsed="false">
      <c r="A51" s="2" t="s">
        <v>31</v>
      </c>
      <c r="B51" s="2" t="n">
        <v>623310000</v>
      </c>
      <c r="C51" s="2" t="s">
        <v>54</v>
      </c>
      <c r="D51" s="3" t="n">
        <f aca="false">IF(B51="","",IFERROR(INDEX(Balance!$E$2:$E$800,MATCH(B51,Balance!$A$2:$A$800,0)),"Non trouvé"))</f>
        <v>-25874408</v>
      </c>
    </row>
    <row r="52" customFormat="false" ht="15" hidden="false" customHeight="false" outlineLevel="0" collapsed="false">
      <c r="A52" s="2" t="s">
        <v>31</v>
      </c>
      <c r="B52" s="2" t="n">
        <v>623320000</v>
      </c>
      <c r="C52" s="2" t="s">
        <v>55</v>
      </c>
      <c r="D52" s="3" t="n">
        <f aca="false">IF(B52="","",IFERROR(INDEX(Balance!$E$2:$E$800,MATCH(B52,Balance!$A$2:$A$800,0)),"Non trouvé"))</f>
        <v>-13087000</v>
      </c>
    </row>
    <row r="53" customFormat="false" ht="15" hidden="false" customHeight="false" outlineLevel="0" collapsed="false">
      <c r="A53" s="2" t="s">
        <v>31</v>
      </c>
      <c r="B53" s="2" t="n">
        <v>623330000</v>
      </c>
      <c r="C53" s="2" t="s">
        <v>56</v>
      </c>
      <c r="D53" s="3" t="n">
        <f aca="false">IF(B53="","",IFERROR(INDEX(Balance!$E$2:$E$800,MATCH(B53,Balance!$A$2:$A$800,0)),"Non trouvé"))</f>
        <v>-3822250</v>
      </c>
    </row>
    <row r="54" customFormat="false" ht="15" hidden="false" customHeight="false" outlineLevel="0" collapsed="false">
      <c r="A54" s="2" t="s">
        <v>31</v>
      </c>
      <c r="B54" s="2" t="n">
        <v>623340000</v>
      </c>
      <c r="C54" s="2" t="s">
        <v>57</v>
      </c>
      <c r="D54" s="3" t="n">
        <f aca="false">IF(B54="","",IFERROR(INDEX(Balance!$E$2:$E$800,MATCH(B54,Balance!$A$2:$A$800,0)),"Non trouvé"))</f>
        <v>-9780000</v>
      </c>
    </row>
    <row r="55" customFormat="false" ht="15" hidden="false" customHeight="false" outlineLevel="0" collapsed="false">
      <c r="A55" s="2" t="s">
        <v>31</v>
      </c>
      <c r="B55" s="2" t="n">
        <v>623350000</v>
      </c>
      <c r="C55" s="2" t="s">
        <v>58</v>
      </c>
      <c r="D55" s="3" t="n">
        <f aca="false">IF(B55="","",IFERROR(INDEX(Balance!$E$2:$E$800,MATCH(B55,Balance!$A$2:$A$800,0)),"Non trouvé"))</f>
        <v>0</v>
      </c>
    </row>
    <row r="56" customFormat="false" ht="15" hidden="false" customHeight="false" outlineLevel="0" collapsed="false">
      <c r="A56" s="2" t="s">
        <v>31</v>
      </c>
      <c r="B56" s="2" t="n">
        <v>623390000</v>
      </c>
      <c r="C56" s="2" t="s">
        <v>59</v>
      </c>
      <c r="D56" s="3" t="n">
        <f aca="false">IF(B56="","",IFERROR(INDEX(Balance!$E$2:$E$800,MATCH(B56,Balance!$A$2:$A$800,0)),"Non trouvé"))</f>
        <v>-800000</v>
      </c>
    </row>
    <row r="57" customFormat="false" ht="15" hidden="false" customHeight="false" outlineLevel="0" collapsed="false">
      <c r="A57" s="2" t="s">
        <v>31</v>
      </c>
      <c r="B57" s="2" t="n">
        <v>623510000</v>
      </c>
      <c r="C57" s="2" t="s">
        <v>60</v>
      </c>
      <c r="D57" s="3" t="n">
        <f aca="false">IF(B57="","",IFERROR(INDEX(Balance!$E$2:$E$800,MATCH(B57,Balance!$A$2:$A$800,0)),"Non trouvé"))</f>
        <v>-176000</v>
      </c>
    </row>
    <row r="58" customFormat="false" ht="15" hidden="false" customHeight="false" outlineLevel="0" collapsed="false">
      <c r="A58" s="2" t="s">
        <v>31</v>
      </c>
      <c r="B58" s="2" t="n">
        <v>623910000</v>
      </c>
      <c r="C58" s="2" t="s">
        <v>61</v>
      </c>
      <c r="D58" s="3" t="n">
        <f aca="false">IF(B58="","",IFERROR(INDEX(Balance!$E$2:$E$800,MATCH(B58,Balance!$A$2:$A$800,0)),"Non trouvé"))</f>
        <v>-74569000</v>
      </c>
    </row>
    <row r="59" customFormat="false" ht="15" hidden="false" customHeight="false" outlineLevel="0" collapsed="false">
      <c r="A59" s="2" t="s">
        <v>31</v>
      </c>
      <c r="B59" s="2" t="n">
        <v>671900000</v>
      </c>
      <c r="C59" s="2" t="s">
        <v>62</v>
      </c>
      <c r="D59" s="3" t="n">
        <f aca="false">IF(B59="","",IFERROR(INDEX(Balance!$E$2:$E$800,MATCH(B59,Balance!$A$2:$A$800,0)),"Non trouvé"))</f>
        <v>-6355045</v>
      </c>
    </row>
    <row r="61" customFormat="false" ht="15" hidden="false" customHeight="false" outlineLevel="0" collapsed="false">
      <c r="A61" s="2" t="s">
        <v>63</v>
      </c>
      <c r="B61" s="2" t="n">
        <v>631100000</v>
      </c>
      <c r="C61" s="2" t="s">
        <v>64</v>
      </c>
      <c r="D61" s="3" t="n">
        <f aca="false">IF(B61="","",IFERROR(INDEX(Balance!$E$2:$E$800,MATCH(B61,Balance!$A$2:$A$800,0)),"Non trouvé"))</f>
        <v>0</v>
      </c>
    </row>
    <row r="62" customFormat="false" ht="15" hidden="false" customHeight="false" outlineLevel="0" collapsed="false">
      <c r="A62" s="2" t="s">
        <v>63</v>
      </c>
      <c r="B62" s="2" t="n">
        <v>631110000</v>
      </c>
      <c r="C62" s="2" t="s">
        <v>65</v>
      </c>
      <c r="D62" s="3" t="n">
        <f aca="false">IF(B62="","",IFERROR(INDEX(Balance!$E$2:$E$800,MATCH(B62,Balance!$A$2:$A$800,0)),"Non trouvé"))</f>
        <v>-237624299</v>
      </c>
    </row>
    <row r="63" customFormat="false" ht="15" hidden="false" customHeight="false" outlineLevel="0" collapsed="false">
      <c r="A63" s="2" t="s">
        <v>63</v>
      </c>
      <c r="B63" s="2" t="n">
        <v>632100000</v>
      </c>
      <c r="C63" s="2" t="s">
        <v>66</v>
      </c>
      <c r="D63" s="3" t="n">
        <f aca="false">IF(B63="","",IFERROR(INDEX(Balance!$E$2:$E$800,MATCH(B63,Balance!$A$2:$A$800,0)),"Non trouvé"))</f>
        <v>-1760500</v>
      </c>
    </row>
    <row r="64" customFormat="false" ht="15" hidden="false" customHeight="false" outlineLevel="0" collapsed="false">
      <c r="A64" s="2" t="s">
        <v>63</v>
      </c>
      <c r="B64" s="2" t="n">
        <v>632300000</v>
      </c>
      <c r="C64" s="2" t="s">
        <v>67</v>
      </c>
      <c r="D64" s="3" t="n">
        <f aca="false">IF(B64="","",IFERROR(INDEX(Balance!$E$2:$E$800,MATCH(B64,Balance!$A$2:$A$800,0)),"Non trouvé"))</f>
        <v>-3336466</v>
      </c>
    </row>
    <row r="65" customFormat="false" ht="15" hidden="false" customHeight="false" outlineLevel="0" collapsed="false">
      <c r="A65" s="2" t="s">
        <v>63</v>
      </c>
      <c r="B65" s="2" t="n">
        <v>632400000</v>
      </c>
      <c r="C65" s="2" t="s">
        <v>68</v>
      </c>
      <c r="D65" s="3" t="n">
        <f aca="false">IF(B65="","",IFERROR(INDEX(Balance!$E$2:$E$800,MATCH(B65,Balance!$A$2:$A$800,0)),"Non trouvé"))</f>
        <v>-114198930</v>
      </c>
    </row>
    <row r="66" customFormat="false" ht="15" hidden="false" customHeight="false" outlineLevel="0" collapsed="false">
      <c r="A66" s="2" t="s">
        <v>63</v>
      </c>
      <c r="B66" s="2" t="n">
        <v>632900000</v>
      </c>
      <c r="C66" s="2" t="s">
        <v>69</v>
      </c>
      <c r="D66" s="3" t="n">
        <f aca="false">IF(B66="","",IFERROR(INDEX(Balance!$E$2:$E$800,MATCH(B66,Balance!$A$2:$A$800,0)),"Non trouvé"))</f>
        <v>-3224237</v>
      </c>
    </row>
    <row r="67" customFormat="false" ht="15" hidden="false" customHeight="false" outlineLevel="0" collapsed="false">
      <c r="A67" s="2" t="s">
        <v>63</v>
      </c>
      <c r="B67" s="2" t="n">
        <v>633100000</v>
      </c>
      <c r="C67" s="2" t="s">
        <v>70</v>
      </c>
      <c r="D67" s="3" t="n">
        <f aca="false">IF(B67="","",IFERROR(INDEX(Balance!$E$2:$E$800,MATCH(B67,Balance!$A$2:$A$800,0)),"Non trouvé"))</f>
        <v>-886361584</v>
      </c>
    </row>
    <row r="68" customFormat="false" ht="15" hidden="false" customHeight="false" outlineLevel="0" collapsed="false">
      <c r="A68" s="2" t="s">
        <v>63</v>
      </c>
      <c r="B68" s="2" t="n">
        <v>691000000</v>
      </c>
      <c r="C68" s="2" t="s">
        <v>71</v>
      </c>
      <c r="D68" s="3" t="n">
        <f aca="false">IF(B68="","",IFERROR(INDEX(Balance!$E$2:$E$800,MATCH(B68,Balance!$A$2:$A$800,0)),"Non trouvé"))</f>
        <v>-289610191</v>
      </c>
    </row>
    <row r="70" customFormat="false" ht="15" hidden="false" customHeight="false" outlineLevel="0" collapsed="false">
      <c r="A70" s="2" t="s">
        <v>72</v>
      </c>
      <c r="B70" s="2" t="n">
        <v>641100000</v>
      </c>
      <c r="C70" s="2" t="s">
        <v>73</v>
      </c>
      <c r="D70" s="3" t="n">
        <f aca="false">IF(B70="","",IFERROR(INDEX(Balance!$E$2:$E$800,MATCH(B70,Balance!$A$2:$A$800,0)),"Non trouvé"))</f>
        <v>-5479868255</v>
      </c>
    </row>
    <row r="71" customFormat="false" ht="15" hidden="false" customHeight="false" outlineLevel="0" collapsed="false">
      <c r="A71" s="2" t="s">
        <v>72</v>
      </c>
      <c r="B71" s="2" t="n">
        <v>641200000</v>
      </c>
      <c r="C71" s="2" t="s">
        <v>74</v>
      </c>
      <c r="D71" s="3" t="n">
        <f aca="false">IF(B71="","",IFERROR(INDEX(Balance!$E$2:$E$800,MATCH(B71,Balance!$A$2:$A$800,0)),"Non trouvé"))</f>
        <v>-1202143520</v>
      </c>
    </row>
    <row r="72" customFormat="false" ht="15" hidden="false" customHeight="false" outlineLevel="0" collapsed="false">
      <c r="A72" s="2" t="s">
        <v>72</v>
      </c>
      <c r="B72" s="2" t="n">
        <v>641300000</v>
      </c>
      <c r="C72" s="2" t="s">
        <v>75</v>
      </c>
      <c r="D72" s="3" t="n">
        <f aca="false">IF(B72="","",IFERROR(INDEX(Balance!$E$2:$E$800,MATCH(B72,Balance!$A$2:$A$800,0)),"Non trouvé"))</f>
        <v>-1555978887</v>
      </c>
    </row>
    <row r="73" customFormat="false" ht="15" hidden="false" customHeight="false" outlineLevel="0" collapsed="false">
      <c r="A73" s="2" t="s">
        <v>72</v>
      </c>
      <c r="B73" s="2" t="n">
        <v>641500000</v>
      </c>
      <c r="C73" s="2" t="s">
        <v>76</v>
      </c>
      <c r="D73" s="3" t="n">
        <f aca="false">IF(B73="","",IFERROR(INDEX(Balance!$E$2:$E$800,MATCH(B73,Balance!$A$2:$A$800,0)),"Non trouvé"))</f>
        <v>-2653200</v>
      </c>
    </row>
    <row r="74" customFormat="false" ht="15" hidden="false" customHeight="false" outlineLevel="0" collapsed="false">
      <c r="A74" s="2" t="s">
        <v>72</v>
      </c>
      <c r="B74" s="2" t="n">
        <v>641600000</v>
      </c>
      <c r="C74" s="2" t="s">
        <v>77</v>
      </c>
      <c r="D74" s="3" t="n">
        <f aca="false">IF(B74="","",IFERROR(INDEX(Balance!$E$2:$E$800,MATCH(B74,Balance!$A$2:$A$800,0)),"Non trouvé"))</f>
        <v>0</v>
      </c>
    </row>
    <row r="75" customFormat="false" ht="15" hidden="false" customHeight="false" outlineLevel="0" collapsed="false">
      <c r="A75" s="2" t="s">
        <v>72</v>
      </c>
      <c r="B75" s="2" t="n">
        <v>642100000</v>
      </c>
      <c r="C75" s="2" t="s">
        <v>78</v>
      </c>
      <c r="D75" s="3" t="n">
        <f aca="false">IF(B75="","",IFERROR(INDEX(Balance!$E$2:$E$800,MATCH(B75,Balance!$A$2:$A$800,0)),"Non trouvé"))</f>
        <v>-356796286</v>
      </c>
    </row>
    <row r="76" customFormat="false" ht="15" hidden="false" customHeight="false" outlineLevel="0" collapsed="false">
      <c r="A76" s="2" t="s">
        <v>72</v>
      </c>
      <c r="B76" s="2" t="n">
        <v>642200000</v>
      </c>
      <c r="C76" s="2" t="s">
        <v>79</v>
      </c>
      <c r="D76" s="3" t="n">
        <f aca="false">IF(B76="","",IFERROR(INDEX(Balance!$E$2:$E$800,MATCH(B76,Balance!$A$2:$A$800,0)),"Non trouvé"))</f>
        <v>-46298569</v>
      </c>
    </row>
    <row r="77" customFormat="false" ht="15" hidden="false" customHeight="false" outlineLevel="0" collapsed="false">
      <c r="A77" s="2" t="s">
        <v>72</v>
      </c>
      <c r="B77" s="2" t="n">
        <v>642300000</v>
      </c>
      <c r="C77" s="2" t="s">
        <v>80</v>
      </c>
      <c r="D77" s="3" t="n">
        <f aca="false">IF(B77="","",IFERROR(INDEX(Balance!$E$2:$E$800,MATCH(B77,Balance!$A$2:$A$800,0)),"Non trouvé"))</f>
        <v>-189536904</v>
      </c>
    </row>
    <row r="78" customFormat="false" ht="15" hidden="false" customHeight="false" outlineLevel="0" collapsed="false">
      <c r="A78" s="2" t="s">
        <v>72</v>
      </c>
      <c r="B78" s="2" t="n">
        <v>642400000</v>
      </c>
      <c r="C78" s="2" t="s">
        <v>81</v>
      </c>
      <c r="D78" s="3" t="n">
        <f aca="false">IF(B78="","",IFERROR(INDEX(Balance!$E$2:$E$800,MATCH(B78,Balance!$A$2:$A$800,0)),"Non trouvé"))</f>
        <v>-285483862</v>
      </c>
    </row>
    <row r="79" customFormat="false" ht="15" hidden="false" customHeight="false" outlineLevel="0" collapsed="false">
      <c r="A79" s="2" t="s">
        <v>72</v>
      </c>
      <c r="B79" s="2" t="n">
        <v>642500000</v>
      </c>
      <c r="C79" s="2" t="s">
        <v>82</v>
      </c>
      <c r="D79" s="3" t="n">
        <f aca="false">IF(B79="","",IFERROR(INDEX(Balance!$E$2:$E$800,MATCH(B79,Balance!$A$2:$A$800,0)),"Non trouvé"))</f>
        <v>-599624010</v>
      </c>
    </row>
    <row r="80" customFormat="false" ht="15" hidden="false" customHeight="false" outlineLevel="0" collapsed="false">
      <c r="A80" s="2" t="s">
        <v>72</v>
      </c>
      <c r="B80" s="2" t="n">
        <v>643000000</v>
      </c>
      <c r="C80" s="2" t="s">
        <v>83</v>
      </c>
      <c r="D80" s="3" t="n">
        <f aca="false">IF(B80="","",IFERROR(INDEX(Balance!$E$2:$E$800,MATCH(B80,Balance!$A$2:$A$800,0)),"Non trouvé"))</f>
        <v>-6803640</v>
      </c>
    </row>
    <row r="82" customFormat="false" ht="15" hidden="false" customHeight="false" outlineLevel="0" collapsed="false">
      <c r="A82" s="2" t="s">
        <v>84</v>
      </c>
      <c r="B82" s="2" t="n">
        <v>661110000</v>
      </c>
      <c r="C82" s="2" t="s">
        <v>85</v>
      </c>
      <c r="D82" s="3" t="n">
        <f aca="false">IF(B82="","",IFERROR(INDEX(Balance!$E$2:$E$800,MATCH(B82,Balance!$A$2:$A$800,0)),"Non trouvé"))</f>
        <v>-16446903</v>
      </c>
    </row>
    <row r="83" customFormat="false" ht="15" hidden="false" customHeight="false" outlineLevel="0" collapsed="false">
      <c r="A83" s="2" t="s">
        <v>84</v>
      </c>
      <c r="B83" s="2" t="n">
        <v>661120000</v>
      </c>
      <c r="C83" s="2" t="s">
        <v>86</v>
      </c>
      <c r="D83" s="3" t="n">
        <f aca="false">IF(B83="","",IFERROR(INDEX(Balance!$E$2:$E$800,MATCH(B83,Balance!$A$2:$A$800,0)),"Non trouvé"))</f>
        <v>-1608864662</v>
      </c>
    </row>
    <row r="84" customFormat="false" ht="15" hidden="false" customHeight="false" outlineLevel="0" collapsed="false">
      <c r="A84" s="2" t="s">
        <v>84</v>
      </c>
      <c r="B84" s="2" t="n">
        <v>661220000</v>
      </c>
      <c r="C84" s="2" t="s">
        <v>87</v>
      </c>
      <c r="D84" s="3" t="n">
        <f aca="false">IF(B84="","",IFERROR(INDEX(Balance!$E$2:$E$800,MATCH(B84,Balance!$A$2:$A$800,0)),"Non trouvé"))</f>
        <v>0</v>
      </c>
    </row>
    <row r="85" customFormat="false" ht="15" hidden="false" customHeight="false" outlineLevel="0" collapsed="false">
      <c r="A85" s="2" t="s">
        <v>84</v>
      </c>
      <c r="B85" s="2" t="n">
        <v>662000000</v>
      </c>
      <c r="C85" s="2" t="s">
        <v>88</v>
      </c>
      <c r="D85" s="3" t="n">
        <f aca="false">IF(B85="","",IFERROR(INDEX(Balance!$E$2:$E$800,MATCH(B85,Balance!$A$2:$A$800,0)),"Non trouvé"))</f>
        <v>0</v>
      </c>
    </row>
    <row r="87" customFormat="false" ht="15" hidden="false" customHeight="false" outlineLevel="0" collapsed="false">
      <c r="A87" s="2" t="s">
        <v>89</v>
      </c>
      <c r="B87" s="2" t="n">
        <v>650000000</v>
      </c>
      <c r="C87" s="2" t="s">
        <v>90</v>
      </c>
      <c r="D87" s="3" t="n">
        <f aca="false">IF(B87="","",IFERROR(INDEX(Balance!$E$2:$E$800,MATCH(B87,Balance!$A$2:$A$800,0)),"Non trouvé"))</f>
        <v>-1725971358</v>
      </c>
    </row>
    <row r="88" customFormat="false" ht="15" hidden="false" customHeight="false" outlineLevel="0" collapsed="false">
      <c r="A88" s="2" t="s">
        <v>89</v>
      </c>
      <c r="B88" s="2" t="n">
        <v>664120000</v>
      </c>
      <c r="C88" s="2" t="s">
        <v>91</v>
      </c>
      <c r="D88" s="3" t="n">
        <f aca="false">IF(B88="","",IFERROR(INDEX(Balance!$E$2:$E$800,MATCH(B88,Balance!$A$2:$A$800,0)),"Non trouvé"))</f>
        <v>-2166590539</v>
      </c>
    </row>
    <row r="89" customFormat="false" ht="15" hidden="false" customHeight="false" outlineLevel="0" collapsed="false">
      <c r="A89" s="2" t="s">
        <v>89</v>
      </c>
      <c r="B89" s="2" t="n">
        <v>664121000</v>
      </c>
      <c r="C89" s="2" t="s">
        <v>92</v>
      </c>
      <c r="D89" s="3" t="n">
        <f aca="false">IF(B89="","",IFERROR(INDEX(Balance!$E$2:$E$800,MATCH(B89,Balance!$A$2:$A$800,0)),"Non trouvé"))</f>
        <v>-7453846</v>
      </c>
    </row>
    <row r="90" customFormat="false" ht="15" hidden="false" customHeight="false" outlineLevel="0" collapsed="false">
      <c r="A90" s="2" t="s">
        <v>89</v>
      </c>
      <c r="B90" s="2" t="n">
        <v>664200000</v>
      </c>
      <c r="C90" s="2" t="s">
        <v>93</v>
      </c>
      <c r="D90" s="3" t="n">
        <f aca="false">IF(B90="","",IFERROR(INDEX(Balance!$E$2:$E$800,MATCH(B90,Balance!$A$2:$A$800,0)),"Non trouvé"))</f>
        <v>-1636648218</v>
      </c>
    </row>
    <row r="91" customFormat="false" ht="15" hidden="false" customHeight="false" outlineLevel="0" collapsed="false">
      <c r="A91" s="2" t="s">
        <v>89</v>
      </c>
      <c r="B91" s="2" t="n">
        <v>664210000</v>
      </c>
      <c r="C91" s="2" t="s">
        <v>94</v>
      </c>
      <c r="D91" s="3" t="n">
        <f aca="false">IF(B91="","",IFERROR(INDEX(Balance!$E$2:$E$800,MATCH(B91,Balance!$A$2:$A$800,0)),"Non trouvé"))</f>
        <v>-606404087</v>
      </c>
    </row>
    <row r="92" customFormat="false" ht="15" hidden="false" customHeight="false" outlineLevel="0" collapsed="false">
      <c r="A92" s="2" t="s">
        <v>89</v>
      </c>
      <c r="B92" s="2" t="n">
        <v>664300000</v>
      </c>
      <c r="C92" s="2" t="s">
        <v>95</v>
      </c>
      <c r="D92" s="3" t="n">
        <f aca="false">IF(B92="","",IFERROR(INDEX(Balance!$E$2:$E$800,MATCH(B92,Balance!$A$2:$A$800,0)),"Non trouvé"))</f>
        <v>-7361107036</v>
      </c>
    </row>
    <row r="93" customFormat="false" ht="15" hidden="false" customHeight="false" outlineLevel="0" collapsed="false">
      <c r="A93" s="2" t="s">
        <v>89</v>
      </c>
      <c r="B93" s="2" t="n">
        <v>664310000</v>
      </c>
      <c r="C93" s="2" t="s">
        <v>96</v>
      </c>
      <c r="D93" s="3" t="n">
        <f aca="false">IF(B93="","",IFERROR(INDEX(Balance!$E$2:$E$800,MATCH(B93,Balance!$A$2:$A$800,0)),"Non trouvé"))</f>
        <v>44</v>
      </c>
    </row>
    <row r="94" customFormat="false" ht="15" hidden="false" customHeight="false" outlineLevel="0" collapsed="false">
      <c r="A94" s="2" t="s">
        <v>89</v>
      </c>
      <c r="B94" s="2" t="n">
        <v>666000000</v>
      </c>
      <c r="C94" s="2" t="s">
        <v>97</v>
      </c>
      <c r="D94" s="3" t="n">
        <f aca="false">IF(B94="","",IFERROR(INDEX(Balance!$E$2:$E$800,MATCH(B94,Balance!$A$2:$A$800,0)),"Non trouvé"))</f>
        <v>-53215914</v>
      </c>
    </row>
    <row r="95" customFormat="false" ht="15" hidden="false" customHeight="false" outlineLevel="0" collapsed="false">
      <c r="A95" s="2" t="s">
        <v>89</v>
      </c>
      <c r="B95" s="2" t="n">
        <v>667100000</v>
      </c>
      <c r="C95" s="2" t="s">
        <v>98</v>
      </c>
      <c r="D95" s="3" t="n">
        <f aca="false">IF(B95="","",IFERROR(INDEX(Balance!$E$2:$E$800,MATCH(B95,Balance!$A$2:$A$800,0)),"Non trouvé"))</f>
        <v>0</v>
      </c>
    </row>
    <row r="96" customFormat="false" ht="15" hidden="false" customHeight="false" outlineLevel="0" collapsed="false">
      <c r="A96" s="2" t="s">
        <v>89</v>
      </c>
      <c r="B96" s="2" t="n">
        <v>667200000</v>
      </c>
      <c r="C96" s="2" t="s">
        <v>99</v>
      </c>
      <c r="D96" s="3" t="n">
        <f aca="false">IF(B96="","",IFERROR(INDEX(Balance!$E$2:$E$800,MATCH(B96,Balance!$A$2:$A$800,0)),"Non trouvé"))</f>
        <v>0</v>
      </c>
    </row>
    <row r="98" customFormat="false" ht="15" hidden="false" customHeight="false" outlineLevel="0" collapsed="false">
      <c r="A98" s="2" t="s">
        <v>100</v>
      </c>
      <c r="B98" s="2" t="n">
        <v>669110000</v>
      </c>
      <c r="C98" s="2" t="s">
        <v>101</v>
      </c>
      <c r="D98" s="3" t="n">
        <f aca="false">IF(B98="","",IFERROR(INDEX(Balance!$E$2:$E$800,MATCH(B98,Balance!$A$2:$A$800,0)),"Non trouvé"))</f>
        <v>-5513073112</v>
      </c>
    </row>
    <row r="99" customFormat="false" ht="15" hidden="false" customHeight="false" outlineLevel="0" collapsed="false">
      <c r="A99" s="2" t="s">
        <v>100</v>
      </c>
      <c r="B99" s="2" t="n">
        <v>669120000</v>
      </c>
      <c r="C99" s="2" t="s">
        <v>102</v>
      </c>
      <c r="D99" s="3" t="n">
        <f aca="false">IF(B99="","",IFERROR(INDEX(Balance!$E$2:$E$800,MATCH(B99,Balance!$A$2:$A$800,0)),"Non trouvé"))</f>
        <v>-319065469</v>
      </c>
    </row>
    <row r="100" customFormat="false" ht="15" hidden="false" customHeight="false" outlineLevel="0" collapsed="false">
      <c r="A100" s="2" t="s">
        <v>100</v>
      </c>
      <c r="B100" s="2" t="n">
        <v>671300000</v>
      </c>
      <c r="C100" s="2" t="s">
        <v>103</v>
      </c>
      <c r="D100" s="3" t="n">
        <f aca="false">IF(B100="","",IFERROR(INDEX(Balance!$E$2:$E$800,MATCH(B100,Balance!$A$2:$A$800,0)),"Non trouvé"))</f>
        <v>-2093131</v>
      </c>
    </row>
    <row r="101" customFormat="false" ht="15" hidden="false" customHeight="false" outlineLevel="0" collapsed="false">
      <c r="A101" s="2" t="s">
        <v>100</v>
      </c>
      <c r="B101" s="2" t="n">
        <v>671600000</v>
      </c>
      <c r="C101" s="2" t="s">
        <v>104</v>
      </c>
      <c r="D101" s="3" t="n">
        <f aca="false">IF(B101="","",IFERROR(INDEX(Balance!$E$2:$E$800,MATCH(B101,Balance!$A$2:$A$800,0)),"Non trouvé"))</f>
        <v>0</v>
      </c>
    </row>
    <row r="103" customFormat="false" ht="15" hidden="false" customHeight="false" outlineLevel="0" collapsed="false">
      <c r="A103" s="2" t="s">
        <v>105</v>
      </c>
      <c r="B103" s="2" t="n">
        <v>702931000</v>
      </c>
      <c r="C103" s="2" t="s">
        <v>106</v>
      </c>
      <c r="D103" s="3" t="n">
        <f aca="false">IF(B103="","",IFERROR(INDEX(Balance!$E$2:$E$800,MATCH(B103,Balance!$A$2:$A$800,0)),"Non trouvé"))</f>
        <v>3555159499</v>
      </c>
    </row>
    <row r="105" customFormat="false" ht="15" hidden="false" customHeight="false" outlineLevel="0" collapsed="false">
      <c r="A105" s="2" t="s">
        <v>107</v>
      </c>
      <c r="B105" s="2" t="n">
        <v>701330000</v>
      </c>
      <c r="C105" s="2" t="s">
        <v>108</v>
      </c>
      <c r="D105" s="3" t="n">
        <f aca="false">IF(B105="","",IFERROR(INDEX(Balance!$E$2:$E$800,MATCH(B105,Balance!$A$2:$A$800,0)),"Non trouvé"))</f>
        <v>0</v>
      </c>
    </row>
    <row r="106" customFormat="false" ht="15" hidden="false" customHeight="false" outlineLevel="0" collapsed="false">
      <c r="A106" s="2" t="s">
        <v>107</v>
      </c>
      <c r="B106" s="2" t="n">
        <v>701910000</v>
      </c>
      <c r="C106" s="2" t="s">
        <v>109</v>
      </c>
      <c r="D106" s="3" t="n">
        <f aca="false">IF(B106="","",IFERROR(INDEX(Balance!$E$2:$E$800,MATCH(B106,Balance!$A$2:$A$800,0)),"Non trouvé"))</f>
        <v>0</v>
      </c>
    </row>
    <row r="107" customFormat="false" ht="15" hidden="false" customHeight="false" outlineLevel="0" collapsed="false">
      <c r="A107" s="2" t="s">
        <v>107</v>
      </c>
      <c r="B107" s="2" t="n">
        <v>702121000</v>
      </c>
      <c r="C107" s="2" t="s">
        <v>110</v>
      </c>
      <c r="D107" s="3" t="n">
        <f aca="false">IF(B107="","",IFERROR(INDEX(Balance!$E$2:$E$800,MATCH(B107,Balance!$A$2:$A$800,0)),"Non trouvé"))</f>
        <v>2831831409</v>
      </c>
    </row>
    <row r="108" customFormat="false" ht="15" hidden="false" customHeight="false" outlineLevel="0" collapsed="false">
      <c r="A108" s="2" t="s">
        <v>107</v>
      </c>
      <c r="B108" s="2" t="n">
        <v>702122000</v>
      </c>
      <c r="C108" s="2" t="s">
        <v>111</v>
      </c>
      <c r="D108" s="3" t="n">
        <f aca="false">IF(B108="","",IFERROR(INDEX(Balance!$E$2:$E$800,MATCH(B108,Balance!$A$2:$A$800,0)),"Non trouvé"))</f>
        <v>0</v>
      </c>
    </row>
    <row r="109" customFormat="false" ht="15" hidden="false" customHeight="false" outlineLevel="0" collapsed="false">
      <c r="A109" s="2" t="s">
        <v>107</v>
      </c>
      <c r="B109" s="2" t="n">
        <v>702131000</v>
      </c>
      <c r="C109" s="2" t="s">
        <v>112</v>
      </c>
      <c r="D109" s="3" t="n">
        <f aca="false">IF(B109="","",IFERROR(INDEX(Balance!$E$2:$E$800,MATCH(B109,Balance!$A$2:$A$800,0)),"Non trouvé"))</f>
        <v>17496139202</v>
      </c>
    </row>
    <row r="110" customFormat="false" ht="15" hidden="false" customHeight="false" outlineLevel="0" collapsed="false">
      <c r="A110" s="2" t="s">
        <v>107</v>
      </c>
      <c r="B110" s="2" t="n">
        <v>702132000</v>
      </c>
      <c r="C110" s="2" t="s">
        <v>113</v>
      </c>
      <c r="D110" s="3" t="n">
        <f aca="false">IF(B110="","",IFERROR(INDEX(Balance!$E$2:$E$800,MATCH(B110,Balance!$A$2:$A$800,0)),"Non trouvé"))</f>
        <v>8982863</v>
      </c>
    </row>
    <row r="111" customFormat="false" ht="15" hidden="false" customHeight="false" outlineLevel="0" collapsed="false">
      <c r="A111" s="2" t="s">
        <v>107</v>
      </c>
      <c r="B111" s="2" t="n">
        <v>702141000</v>
      </c>
      <c r="C111" s="2" t="s">
        <v>114</v>
      </c>
      <c r="D111" s="3" t="n">
        <f aca="false">IF(B111="","",IFERROR(INDEX(Balance!$E$2:$E$800,MATCH(B111,Balance!$A$2:$A$800,0)),"Non trouvé"))</f>
        <v>2121554394</v>
      </c>
    </row>
    <row r="112" customFormat="false" ht="15" hidden="false" customHeight="false" outlineLevel="0" collapsed="false">
      <c r="A112" s="2" t="s">
        <v>107</v>
      </c>
      <c r="B112" s="2" t="n">
        <v>702142000</v>
      </c>
      <c r="C112" s="2" t="s">
        <v>115</v>
      </c>
      <c r="D112" s="3" t="n">
        <f aca="false">IF(B112="","",IFERROR(INDEX(Balance!$E$2:$E$800,MATCH(B112,Balance!$A$2:$A$800,0)),"Non trouvé"))</f>
        <v>40353675</v>
      </c>
    </row>
    <row r="113" customFormat="false" ht="15" hidden="false" customHeight="false" outlineLevel="0" collapsed="false">
      <c r="A113" s="2" t="s">
        <v>107</v>
      </c>
      <c r="B113" s="2" t="n">
        <v>702511000</v>
      </c>
      <c r="C113" s="2" t="s">
        <v>116</v>
      </c>
      <c r="D113" s="3" t="n">
        <f aca="false">IF(B113="","",IFERROR(INDEX(Balance!$E$2:$E$800,MATCH(B113,Balance!$A$2:$A$800,0)),"Non trouvé"))</f>
        <v>0</v>
      </c>
    </row>
    <row r="115" customFormat="false" ht="15" hidden="false" customHeight="false" outlineLevel="0" collapsed="false">
      <c r="A115" s="2" t="s">
        <v>117</v>
      </c>
      <c r="B115" s="2" t="n">
        <v>702891000</v>
      </c>
      <c r="C115" s="2" t="s">
        <v>118</v>
      </c>
      <c r="D115" s="3" t="n">
        <f aca="false">IF(B115="","",IFERROR(INDEX(Balance!$E$2:$E$800,MATCH(B115,Balance!$A$2:$A$800,0)),"Non trouvé"))</f>
        <v>379955145</v>
      </c>
    </row>
    <row r="116" customFormat="false" ht="15" hidden="false" customHeight="false" outlineLevel="0" collapsed="false">
      <c r="A116" s="2" t="s">
        <v>119</v>
      </c>
      <c r="B116" s="2" t="n">
        <v>702892000</v>
      </c>
      <c r="C116" s="2" t="s">
        <v>120</v>
      </c>
      <c r="D116" s="3" t="n">
        <f aca="false">IF(B116="","",IFERROR(INDEX(Balance!$E$2:$E$800,MATCH(B116,Balance!$A$2:$A$800,0)),"Non trouvé"))</f>
        <v>820262881</v>
      </c>
    </row>
    <row r="118" customFormat="false" ht="15" hidden="false" customHeight="false" outlineLevel="0" collapsed="false">
      <c r="A118" s="2" t="s">
        <v>121</v>
      </c>
      <c r="B118" s="2" t="n">
        <v>702911000</v>
      </c>
      <c r="C118" s="2" t="s">
        <v>122</v>
      </c>
      <c r="D118" s="3" t="n">
        <f aca="false">IF(B118="","",IFERROR(INDEX(Balance!$E$2:$E$800,MATCH(B118,Balance!$A$2:$A$800,0)),"Non trouvé"))</f>
        <v>205343000</v>
      </c>
    </row>
    <row r="120" customFormat="false" ht="15" hidden="false" customHeight="false" outlineLevel="0" collapsed="false">
      <c r="A120" s="2" t="s">
        <v>123</v>
      </c>
      <c r="B120" s="2" t="n">
        <v>701931000</v>
      </c>
      <c r="C120" s="2" t="s">
        <v>124</v>
      </c>
      <c r="D120" s="3" t="n">
        <f aca="false">IF(B120="","",IFERROR(INDEX(Balance!$E$2:$E$800,MATCH(B120,Balance!$A$2:$A$800,0)),"Non trouvé"))</f>
        <v>0</v>
      </c>
    </row>
    <row r="121" customFormat="false" ht="15" hidden="false" customHeight="false" outlineLevel="0" collapsed="false">
      <c r="A121" s="2" t="s">
        <v>123</v>
      </c>
      <c r="B121" s="2" t="n">
        <v>702936000</v>
      </c>
      <c r="C121" s="2" t="s">
        <v>125</v>
      </c>
      <c r="D121" s="3" t="n">
        <f aca="false">IF(B121="","",IFERROR(INDEX(Balance!$E$2:$E$800,MATCH(B121,Balance!$A$2:$A$800,0)),"Non trouvé"))</f>
        <v>291117799</v>
      </c>
    </row>
    <row r="122" customFormat="false" ht="15" hidden="false" customHeight="false" outlineLevel="0" collapsed="false">
      <c r="A122" s="2" t="s">
        <v>123</v>
      </c>
      <c r="B122" s="2" t="n">
        <v>702920000</v>
      </c>
      <c r="C122" s="2" t="s">
        <v>126</v>
      </c>
      <c r="D122" s="3" t="n">
        <f aca="false">IF(B122="","",IFERROR(INDEX(Balance!$E$2:$E$800,MATCH(B122,Balance!$A$2:$A$800,0)),"Non trouvé"))</f>
        <v>0</v>
      </c>
    </row>
    <row r="123" customFormat="false" ht="15" hidden="false" customHeight="false" outlineLevel="0" collapsed="false">
      <c r="A123" s="2" t="s">
        <v>123</v>
      </c>
      <c r="B123" s="2" t="n">
        <v>702921000</v>
      </c>
      <c r="C123" s="2" t="s">
        <v>127</v>
      </c>
      <c r="D123" s="3" t="n">
        <f aca="false">IF(B123="","",IFERROR(INDEX(Balance!$E$2:$E$800,MATCH(B123,Balance!$A$2:$A$800,0)),"Non trouvé"))</f>
        <v>9731171</v>
      </c>
    </row>
    <row r="124" customFormat="false" ht="15" hidden="false" customHeight="false" outlineLevel="0" collapsed="false">
      <c r="A124" s="2" t="s">
        <v>123</v>
      </c>
      <c r="B124" s="2" t="n">
        <v>702922000</v>
      </c>
      <c r="C124" s="2" t="s">
        <v>128</v>
      </c>
      <c r="D124" s="3" t="n">
        <f aca="false">IF(B124="","",IFERROR(INDEX(Balance!$E$2:$E$800,MATCH(B124,Balance!$A$2:$A$800,0)),"Non trouvé"))</f>
        <v>39725989</v>
      </c>
    </row>
    <row r="125" customFormat="false" ht="15" hidden="false" customHeight="false" outlineLevel="0" collapsed="false">
      <c r="A125" s="2" t="s">
        <v>123</v>
      </c>
      <c r="B125" s="2" t="n">
        <v>702923000</v>
      </c>
      <c r="C125" s="2" t="s">
        <v>129</v>
      </c>
      <c r="D125" s="3" t="n">
        <f aca="false">IF(B125="","",IFERROR(INDEX(Balance!$E$2:$E$800,MATCH(B125,Balance!$A$2:$A$800,0)),"Non trouvé"))</f>
        <v>0</v>
      </c>
    </row>
    <row r="126" customFormat="false" ht="15" hidden="false" customHeight="false" outlineLevel="0" collapsed="false">
      <c r="A126" s="2" t="s">
        <v>123</v>
      </c>
      <c r="B126" s="2" t="n">
        <v>702924000</v>
      </c>
      <c r="C126" s="2" t="s">
        <v>130</v>
      </c>
      <c r="D126" s="3" t="n">
        <f aca="false">IF(B126="","",IFERROR(INDEX(Balance!$E$2:$E$800,MATCH(B126,Balance!$A$2:$A$800,0)),"Non trouvé"))</f>
        <v>0</v>
      </c>
    </row>
    <row r="127" customFormat="false" ht="15" hidden="false" customHeight="false" outlineLevel="0" collapsed="false">
      <c r="A127" s="2" t="s">
        <v>123</v>
      </c>
      <c r="B127" s="2" t="n">
        <v>702925000</v>
      </c>
      <c r="C127" s="2" t="s">
        <v>131</v>
      </c>
      <c r="D127" s="3" t="n">
        <f aca="false">IF(B127="","",IFERROR(INDEX(Balance!$E$2:$E$800,MATCH(B127,Balance!$A$2:$A$800,0)),"Non trouvé"))</f>
        <v>40055101</v>
      </c>
    </row>
    <row r="128" customFormat="false" ht="15" hidden="false" customHeight="false" outlineLevel="0" collapsed="false">
      <c r="A128" s="2" t="s">
        <v>123</v>
      </c>
      <c r="B128" s="2" t="n">
        <v>702926000</v>
      </c>
      <c r="C128" s="2" t="s">
        <v>132</v>
      </c>
      <c r="D128" s="3" t="n">
        <f aca="false">IF(B128="","",IFERROR(INDEX(Balance!$E$2:$E$800,MATCH(B128,Balance!$A$2:$A$800,0)),"Non trouvé"))</f>
        <v>0</v>
      </c>
    </row>
    <row r="129" customFormat="false" ht="15" hidden="false" customHeight="false" outlineLevel="0" collapsed="false">
      <c r="A129" s="2" t="s">
        <v>123</v>
      </c>
      <c r="B129" s="2" t="n">
        <v>702927000</v>
      </c>
      <c r="C129" s="2" t="s">
        <v>133</v>
      </c>
      <c r="D129" s="3" t="n">
        <f aca="false">IF(B129="","",IFERROR(INDEX(Balance!$E$2:$E$800,MATCH(B129,Balance!$A$2:$A$800,0)),"Non trouvé"))</f>
        <v>0</v>
      </c>
    </row>
    <row r="130" customFormat="false" ht="15" hidden="false" customHeight="false" outlineLevel="0" collapsed="false">
      <c r="A130" s="2" t="s">
        <v>123</v>
      </c>
      <c r="B130" s="2" t="n">
        <v>702929000</v>
      </c>
      <c r="C130" s="2" t="s">
        <v>134</v>
      </c>
      <c r="D130" s="3" t="n">
        <f aca="false">IF(B130="","",IFERROR(INDEX(Balance!$E$2:$E$800,MATCH(B130,Balance!$A$2:$A$800,0)),"Non trouvé"))</f>
        <v>0</v>
      </c>
    </row>
    <row r="131" customFormat="false" ht="15" hidden="false" customHeight="false" outlineLevel="0" collapsed="false">
      <c r="A131" s="2" t="s">
        <v>123</v>
      </c>
      <c r="B131" s="2" t="n">
        <v>702930000</v>
      </c>
      <c r="C131" s="2" t="s">
        <v>135</v>
      </c>
      <c r="D131" s="3" t="n">
        <f aca="false">IF(B131="","",IFERROR(INDEX(Balance!$E$2:$E$800,MATCH(B131,Balance!$A$2:$A$800,0)),"Non trouvé"))</f>
        <v>0</v>
      </c>
    </row>
    <row r="132" customFormat="false" ht="15" hidden="false" customHeight="false" outlineLevel="0" collapsed="false">
      <c r="A132" s="2" t="s">
        <v>123</v>
      </c>
      <c r="B132" s="2" t="n">
        <v>702932000</v>
      </c>
      <c r="C132" s="2" t="s">
        <v>136</v>
      </c>
      <c r="D132" s="3" t="n">
        <f aca="false">IF(B132="","",IFERROR(INDEX(Balance!$E$2:$E$800,MATCH(B132,Balance!$A$2:$A$800,0)),"Non trouvé"))</f>
        <v>427100</v>
      </c>
    </row>
    <row r="133" customFormat="false" ht="15" hidden="false" customHeight="false" outlineLevel="0" collapsed="false">
      <c r="A133" s="2" t="s">
        <v>123</v>
      </c>
      <c r="B133" s="2" t="n">
        <v>702933000</v>
      </c>
      <c r="C133" s="2" t="s">
        <v>137</v>
      </c>
      <c r="D133" s="3" t="n">
        <f aca="false">IF(B133="","",IFERROR(INDEX(Balance!$E$2:$E$800,MATCH(B133,Balance!$A$2:$A$800,0)),"Non trouvé"))</f>
        <v>203500</v>
      </c>
    </row>
    <row r="134" customFormat="false" ht="15" hidden="false" customHeight="false" outlineLevel="0" collapsed="false">
      <c r="A134" s="2" t="s">
        <v>123</v>
      </c>
      <c r="B134" s="2" t="n">
        <v>702934000</v>
      </c>
      <c r="C134" s="2" t="s">
        <v>138</v>
      </c>
      <c r="D134" s="3" t="n">
        <f aca="false">IF(B134="","",IFERROR(INDEX(Balance!$E$2:$E$800,MATCH(B134,Balance!$A$2:$A$800,0)),"Non trouvé"))</f>
        <v>536142625</v>
      </c>
    </row>
    <row r="135" customFormat="false" ht="15" hidden="false" customHeight="false" outlineLevel="0" collapsed="false">
      <c r="A135" s="2" t="s">
        <v>123</v>
      </c>
      <c r="B135" s="2" t="n">
        <v>702937000</v>
      </c>
      <c r="C135" s="2" t="s">
        <v>139</v>
      </c>
      <c r="D135" s="3" t="n">
        <f aca="false">IF(B135="","",IFERROR(INDEX(Balance!$E$2:$E$800,MATCH(B135,Balance!$A$2:$A$800,0)),"Non trouvé"))</f>
        <v>1317007</v>
      </c>
    </row>
    <row r="136" customFormat="false" ht="15" hidden="false" customHeight="false" outlineLevel="0" collapsed="false">
      <c r="A136" s="2" t="s">
        <v>123</v>
      </c>
      <c r="B136" s="2" t="n">
        <v>702938000</v>
      </c>
      <c r="C136" s="2" t="s">
        <v>140</v>
      </c>
      <c r="D136" s="3" t="n">
        <f aca="false">IF(B136="","",IFERROR(INDEX(Balance!$E$2:$E$800,MATCH(B136,Balance!$A$2:$A$800,0)),"Non trouvé"))</f>
        <v>0</v>
      </c>
    </row>
    <row r="137" customFormat="false" ht="15" hidden="false" customHeight="false" outlineLevel="0" collapsed="false">
      <c r="A137" s="2" t="s">
        <v>123</v>
      </c>
      <c r="B137" s="2" t="n">
        <v>702939000</v>
      </c>
      <c r="C137" s="2" t="s">
        <v>141</v>
      </c>
      <c r="D137" s="3" t="n">
        <f aca="false">IF(B137="","",IFERROR(INDEX(Balance!$E$2:$E$800,MATCH(B137,Balance!$A$2:$A$800,0)),"Non trouvé"))</f>
        <v>264315358</v>
      </c>
    </row>
    <row r="138" customFormat="false" ht="15" hidden="false" customHeight="false" outlineLevel="0" collapsed="false">
      <c r="A138" s="2" t="s">
        <v>123</v>
      </c>
      <c r="B138" s="2" t="n">
        <v>703100000</v>
      </c>
      <c r="C138" s="2" t="s">
        <v>142</v>
      </c>
      <c r="D138" s="3" t="n">
        <f aca="false">IF(B138="","",IFERROR(INDEX(Balance!$E$2:$E$800,MATCH(B138,Balance!$A$2:$A$800,0)),"Non trouvé"))</f>
        <v>24139725</v>
      </c>
    </row>
    <row r="139" customFormat="false" ht="15" hidden="false" customHeight="false" outlineLevel="0" collapsed="false">
      <c r="A139" s="2" t="s">
        <v>123</v>
      </c>
      <c r="B139" s="2" t="n">
        <v>704102000</v>
      </c>
      <c r="C139" s="2" t="s">
        <v>143</v>
      </c>
      <c r="D139" s="3" t="n">
        <f aca="false">IF(B139="","",IFERROR(INDEX(Balance!$E$2:$E$800,MATCH(B139,Balance!$A$2:$A$800,0)),"Non trouvé"))</f>
        <v>73892698</v>
      </c>
    </row>
    <row r="140" customFormat="false" ht="15" hidden="false" customHeight="false" outlineLevel="0" collapsed="false">
      <c r="A140" s="2" t="s">
        <v>123</v>
      </c>
      <c r="B140" s="2" t="n">
        <v>707230000</v>
      </c>
      <c r="C140" s="2" t="s">
        <v>144</v>
      </c>
      <c r="D140" s="3" t="n">
        <f aca="false">IF(B140="","",IFERROR(INDEX(Balance!$E$2:$E$800,MATCH(B140,Balance!$A$2:$A$800,0)),"Non trouvé"))</f>
        <v>6901135</v>
      </c>
    </row>
    <row r="141" customFormat="false" ht="15" hidden="false" customHeight="false" outlineLevel="0" collapsed="false">
      <c r="A141" s="2" t="s">
        <v>123</v>
      </c>
      <c r="B141" s="2" t="n">
        <v>707600000</v>
      </c>
      <c r="C141" s="2" t="s">
        <v>145</v>
      </c>
      <c r="D141" s="3" t="n">
        <f aca="false">IF(B141="","",IFERROR(INDEX(Balance!$E$2:$E$800,MATCH(B141,Balance!$A$2:$A$800,0)),"Non trouvé"))</f>
        <v>0</v>
      </c>
    </row>
    <row r="142" customFormat="false" ht="15" hidden="false" customHeight="false" outlineLevel="0" collapsed="false">
      <c r="A142" s="2" t="s">
        <v>123</v>
      </c>
      <c r="B142" s="2" t="n">
        <v>725120000</v>
      </c>
      <c r="C142" s="2" t="s">
        <v>146</v>
      </c>
      <c r="D142" s="3" t="n">
        <f aca="false">IF(B142="","",IFERROR(INDEX(Balance!$E$2:$E$800,MATCH(B142,Balance!$A$2:$A$800,0)),"Non trouvé"))</f>
        <v>6619000</v>
      </c>
    </row>
    <row r="143" customFormat="false" ht="15" hidden="false" customHeight="false" outlineLevel="0" collapsed="false">
      <c r="A143" s="2" t="s">
        <v>123</v>
      </c>
      <c r="B143" s="2" t="n">
        <v>727000000</v>
      </c>
      <c r="C143" s="2" t="s">
        <v>147</v>
      </c>
      <c r="D143" s="3" t="n">
        <f aca="false">IF(B143="","",IFERROR(INDEX(Balance!$E$2:$E$800,MATCH(B143,Balance!$A$2:$A$800,0)),"Non trouvé"))</f>
        <v>56740600</v>
      </c>
    </row>
    <row r="144" customFormat="false" ht="15" hidden="false" customHeight="false" outlineLevel="0" collapsed="false">
      <c r="A144" s="2" t="s">
        <v>123</v>
      </c>
      <c r="B144" s="2" t="n">
        <v>728120000</v>
      </c>
      <c r="C144" s="2" t="s">
        <v>148</v>
      </c>
      <c r="D144" s="3" t="n">
        <f aca="false">IF(B144="","",IFERROR(INDEX(Balance!$E$2:$E$800,MATCH(B144,Balance!$A$2:$A$800,0)),"Non trouvé"))</f>
        <v>146617851</v>
      </c>
    </row>
    <row r="145" customFormat="false" ht="15" hidden="false" customHeight="false" outlineLevel="0" collapsed="false">
      <c r="A145" s="2" t="s">
        <v>123</v>
      </c>
      <c r="B145" s="2" t="n">
        <v>740000000</v>
      </c>
      <c r="C145" s="2" t="s">
        <v>149</v>
      </c>
      <c r="D145" s="3" t="n">
        <f aca="false">IF(B145="","",IFERROR(INDEX(Balance!$E$2:$E$800,MATCH(B145,Balance!$A$2:$A$800,0)),"Non trouvé"))</f>
        <v>0</v>
      </c>
    </row>
    <row r="146" customFormat="false" ht="15" hidden="false" customHeight="false" outlineLevel="0" collapsed="false">
      <c r="A146" s="2" t="s">
        <v>123</v>
      </c>
      <c r="B146" s="2" t="n">
        <v>728200000</v>
      </c>
      <c r="C146" s="2" t="s">
        <v>150</v>
      </c>
      <c r="D146" s="3" t="n">
        <f aca="false">IF(B146="","",IFERROR(INDEX(Balance!$E$2:$E$800,MATCH(B146,Balance!$A$2:$A$800,0)),"Non trouvé"))</f>
        <v>0</v>
      </c>
    </row>
    <row r="148" customFormat="false" ht="15" hidden="false" customHeight="false" outlineLevel="0" collapsed="false">
      <c r="A148" s="2" t="s">
        <v>151</v>
      </c>
      <c r="B148" s="2" t="n">
        <v>728100000</v>
      </c>
      <c r="C148" s="2" t="s">
        <v>152</v>
      </c>
      <c r="D148" s="3" t="n">
        <f aca="false">IF(B148="","",IFERROR(INDEX(Balance!$E$2:$E$800,MATCH(B148,Balance!$A$2:$A$800,0)),"Non trouvé"))</f>
        <v>15760820242</v>
      </c>
    </row>
    <row r="150" customFormat="false" ht="15" hidden="false" customHeight="false" outlineLevel="0" collapsed="false">
      <c r="A150" s="2" t="s">
        <v>153</v>
      </c>
      <c r="B150" s="2" t="n">
        <v>708110000</v>
      </c>
      <c r="C150" s="2" t="s">
        <v>154</v>
      </c>
      <c r="D150" s="3" t="n">
        <f aca="false">IF(B150="","",IFERROR(INDEX(Balance!$E$2:$E$800,MATCH(B150,Balance!$A$2:$A$800,0)),"Non trouvé"))</f>
        <v>525388</v>
      </c>
    </row>
    <row r="151" customFormat="false" ht="15" hidden="false" customHeight="false" outlineLevel="0" collapsed="false">
      <c r="A151" s="2" t="s">
        <v>153</v>
      </c>
      <c r="B151" s="2" t="n">
        <v>708120000</v>
      </c>
      <c r="C151" s="2" t="s">
        <v>155</v>
      </c>
      <c r="D151" s="3" t="n">
        <f aca="false">IF(B151="","",IFERROR(INDEX(Balance!$E$2:$E$800,MATCH(B151,Balance!$A$2:$A$800,0)),"Non trouvé"))</f>
        <v>266098</v>
      </c>
    </row>
    <row r="152" customFormat="false" ht="15" hidden="false" customHeight="false" outlineLevel="0" collapsed="false">
      <c r="A152" s="2" t="s">
        <v>153</v>
      </c>
      <c r="B152" s="2" t="n">
        <v>708130000</v>
      </c>
      <c r="C152" s="2" t="s">
        <v>156</v>
      </c>
      <c r="D152" s="3" t="n">
        <f aca="false">IF(B152="","",IFERROR(INDEX(Balance!$E$2:$E$800,MATCH(B152,Balance!$A$2:$A$800,0)),"Non trouvé"))</f>
        <v>7720949</v>
      </c>
    </row>
    <row r="153" customFormat="false" ht="15" hidden="false" customHeight="false" outlineLevel="0" collapsed="false">
      <c r="A153" s="2" t="s">
        <v>153</v>
      </c>
      <c r="B153" s="2" t="n">
        <v>708131000</v>
      </c>
      <c r="C153" s="2" t="s">
        <v>157</v>
      </c>
      <c r="D153" s="3" t="n">
        <f aca="false">IF(B153="","",IFERROR(INDEX(Balance!$E$2:$E$800,MATCH(B153,Balance!$A$2:$A$800,0)),"Non trouvé"))</f>
        <v>134290851</v>
      </c>
    </row>
    <row r="154" customFormat="false" ht="15" hidden="false" customHeight="false" outlineLevel="0" collapsed="false">
      <c r="A154" s="2" t="s">
        <v>153</v>
      </c>
      <c r="B154" s="2" t="n">
        <v>708140000</v>
      </c>
      <c r="C154" s="2" t="s">
        <v>158</v>
      </c>
      <c r="D154" s="3" t="n">
        <f aca="false">IF(B154="","",IFERROR(INDEX(Balance!$E$2:$E$800,MATCH(B154,Balance!$A$2:$A$800,0)),"Non trouvé"))</f>
        <v>0</v>
      </c>
    </row>
    <row r="155" customFormat="false" ht="15" hidden="false" customHeight="false" outlineLevel="0" collapsed="false">
      <c r="A155" s="2" t="s">
        <v>153</v>
      </c>
      <c r="B155" s="2" t="n">
        <v>708150000</v>
      </c>
      <c r="C155" s="2" t="s">
        <v>159</v>
      </c>
      <c r="D155" s="3" t="n">
        <f aca="false">IF(B155="","",IFERROR(INDEX(Balance!$E$2:$E$800,MATCH(B155,Balance!$A$2:$A$800,0)),"Non trouvé"))</f>
        <v>24689830</v>
      </c>
    </row>
    <row r="156" customFormat="false" ht="15" hidden="false" customHeight="false" outlineLevel="0" collapsed="false">
      <c r="A156" s="2" t="s">
        <v>153</v>
      </c>
      <c r="B156" s="2" t="n">
        <v>708160000</v>
      </c>
      <c r="C156" s="2" t="s">
        <v>160</v>
      </c>
      <c r="D156" s="3" t="n">
        <f aca="false">IF(B156="","",IFERROR(INDEX(Balance!$E$2:$E$800,MATCH(B156,Balance!$A$2:$A$800,0)),"Non trouvé"))</f>
        <v>25621113</v>
      </c>
    </row>
    <row r="157" customFormat="false" ht="15" hidden="false" customHeight="false" outlineLevel="0" collapsed="false">
      <c r="A157" s="2" t="s">
        <v>153</v>
      </c>
      <c r="B157" s="2" t="n">
        <v>708170000</v>
      </c>
      <c r="C157" s="2" t="s">
        <v>161</v>
      </c>
      <c r="D157" s="3" t="n">
        <f aca="false">IF(B157="","",IFERROR(INDEX(Balance!$E$2:$E$800,MATCH(B157,Balance!$A$2:$A$800,0)),"Non trouvé"))</f>
        <v>136969190</v>
      </c>
    </row>
    <row r="158" customFormat="false" ht="15" hidden="false" customHeight="false" outlineLevel="0" collapsed="false">
      <c r="A158" s="2" t="s">
        <v>153</v>
      </c>
      <c r="B158" s="2" t="n">
        <v>708180000</v>
      </c>
      <c r="C158" s="2" t="s">
        <v>162</v>
      </c>
      <c r="D158" s="3" t="n">
        <f aca="false">IF(B158="","",IFERROR(INDEX(Balance!$E$2:$E$800,MATCH(B158,Balance!$A$2:$A$800,0)),"Non trouvé"))</f>
        <v>8706</v>
      </c>
    </row>
    <row r="159" customFormat="false" ht="15" hidden="false" customHeight="false" outlineLevel="0" collapsed="false">
      <c r="A159" s="2" t="s">
        <v>153</v>
      </c>
      <c r="B159" s="2" t="n">
        <v>708190000</v>
      </c>
      <c r="C159" s="2" t="s">
        <v>163</v>
      </c>
      <c r="D159" s="3" t="n">
        <f aca="false">IF(B159="","",IFERROR(INDEX(Balance!$E$2:$E$800,MATCH(B159,Balance!$A$2:$A$800,0)),"Non trouvé"))</f>
        <v>0</v>
      </c>
    </row>
    <row r="161" customFormat="false" ht="15" hidden="false" customHeight="false" outlineLevel="0" collapsed="false">
      <c r="A161" s="2" t="s">
        <v>164</v>
      </c>
      <c r="B161" s="2" t="n">
        <v>729000000</v>
      </c>
      <c r="C161" s="2" t="s">
        <v>165</v>
      </c>
      <c r="D161" s="3" t="n">
        <f aca="false">IF(B161="","",IFERROR(INDEX(Balance!$E$2:$E$800,MATCH(B161,Balance!$A$2:$A$800,0)),"Non trouvé"))</f>
        <v>32183000</v>
      </c>
    </row>
    <row r="162" customFormat="false" ht="15" hidden="false" customHeight="false" outlineLevel="0" collapsed="false">
      <c r="A162" s="2" t="s">
        <v>164</v>
      </c>
      <c r="B162" s="2" t="n">
        <v>729100000</v>
      </c>
      <c r="C162" s="2" t="s">
        <v>166</v>
      </c>
      <c r="D162" s="3" t="n">
        <f aca="false">IF(B162="","",IFERROR(INDEX(Balance!$E$2:$E$800,MATCH(B162,Balance!$A$2:$A$800,0)),"Non trouvé"))</f>
        <v>910390851</v>
      </c>
    </row>
    <row r="163" customFormat="false" ht="15" hidden="false" customHeight="false" outlineLevel="0" collapsed="false">
      <c r="A163" s="2" t="s">
        <v>164</v>
      </c>
      <c r="B163" s="2" t="n">
        <v>729200000</v>
      </c>
      <c r="C163" s="2" t="s">
        <v>167</v>
      </c>
      <c r="D163" s="3" t="n">
        <f aca="false">IF(B163="","",IFERROR(INDEX(Balance!$E$2:$E$800,MATCH(B163,Balance!$A$2:$A$800,0)),"Non trouvé"))</f>
        <v>45087800</v>
      </c>
    </row>
    <row r="164" customFormat="false" ht="15" hidden="false" customHeight="false" outlineLevel="0" collapsed="false">
      <c r="A164" s="2" t="s">
        <v>164</v>
      </c>
      <c r="B164" s="2" t="n">
        <v>729230000</v>
      </c>
      <c r="C164" s="2" t="s">
        <v>168</v>
      </c>
      <c r="D164" s="3" t="n">
        <f aca="false">IF(B164="","",IFERROR(INDEX(Balance!$E$2:$E$800,MATCH(B164,Balance!$A$2:$A$800,0)),"Non trouvé"))</f>
        <v>5471000</v>
      </c>
    </row>
    <row r="165" customFormat="false" ht="15" hidden="false" customHeight="false" outlineLevel="0" collapsed="false">
      <c r="A165" s="2" t="s">
        <v>164</v>
      </c>
      <c r="B165" s="2" t="n">
        <v>729240000</v>
      </c>
      <c r="C165" s="2" t="s">
        <v>169</v>
      </c>
      <c r="D165" s="3" t="n">
        <f aca="false">IF(B165="","",IFERROR(INDEX(Balance!$E$2:$E$800,MATCH(B165,Balance!$A$2:$A$800,0)),"Non trouvé"))</f>
        <v>435000</v>
      </c>
    </row>
    <row r="166" customFormat="false" ht="15" hidden="false" customHeight="false" outlineLevel="0" collapsed="false">
      <c r="A166" s="2" t="s">
        <v>164</v>
      </c>
      <c r="B166" s="2" t="n">
        <v>729250000</v>
      </c>
      <c r="C166" s="2" t="s">
        <v>170</v>
      </c>
      <c r="D166" s="3" t="n">
        <f aca="false">IF(B166="","",IFERROR(INDEX(Balance!$E$2:$E$800,MATCH(B166,Balance!$A$2:$A$800,0)),"Non trouvé"))</f>
        <v>905000</v>
      </c>
    </row>
    <row r="167" customFormat="false" ht="15" hidden="false" customHeight="false" outlineLevel="0" collapsed="false">
      <c r="A167" s="2" t="s">
        <v>164</v>
      </c>
      <c r="B167" s="2" t="n">
        <v>729260000</v>
      </c>
      <c r="C167" s="2" t="s">
        <v>171</v>
      </c>
      <c r="D167" s="3" t="n">
        <f aca="false">IF(B167="","",IFERROR(INDEX(Balance!$E$2:$E$800,MATCH(B167,Balance!$A$2:$A$800,0)),"Non trouvé"))</f>
        <v>1990000</v>
      </c>
    </row>
    <row r="169" customFormat="false" ht="15" hidden="false" customHeight="false" outlineLevel="0" collapsed="false">
      <c r="A169" s="2" t="s">
        <v>172</v>
      </c>
      <c r="B169" s="2" t="n">
        <v>764120000</v>
      </c>
      <c r="C169" s="2" t="s">
        <v>173</v>
      </c>
      <c r="D169" s="3" t="n">
        <f aca="false">IF(B169="","",IFERROR(INDEX(Balance!$E$2:$E$800,MATCH(B169,Balance!$A$2:$A$800,0)),"Non trouvé"))</f>
        <v>1900656257</v>
      </c>
    </row>
    <row r="170" customFormat="false" ht="15" hidden="false" customHeight="false" outlineLevel="0" collapsed="false">
      <c r="A170" s="2" t="s">
        <v>172</v>
      </c>
      <c r="B170" s="2" t="n">
        <v>764121000</v>
      </c>
      <c r="C170" s="2" t="s">
        <v>174</v>
      </c>
      <c r="D170" s="3" t="n">
        <f aca="false">IF(B170="","",IFERROR(INDEX(Balance!$E$2:$E$800,MATCH(B170,Balance!$A$2:$A$800,0)),"Non trouvé"))</f>
        <v>13832729</v>
      </c>
    </row>
    <row r="171" customFormat="false" ht="15" hidden="false" customHeight="false" outlineLevel="0" collapsed="false">
      <c r="A171" s="2" t="s">
        <v>172</v>
      </c>
      <c r="B171" s="2" t="n">
        <v>764200000</v>
      </c>
      <c r="C171" s="2" t="s">
        <v>175</v>
      </c>
      <c r="D171" s="3" t="n">
        <f aca="false">IF(B171="","",IFERROR(INDEX(Balance!$E$2:$E$800,MATCH(B171,Balance!$A$2:$A$800,0)),"Non trouvé"))</f>
        <v>1866774724</v>
      </c>
    </row>
    <row r="172" customFormat="false" ht="15" hidden="false" customHeight="false" outlineLevel="0" collapsed="false">
      <c r="A172" s="2" t="s">
        <v>172</v>
      </c>
      <c r="B172" s="2" t="n">
        <v>764210000</v>
      </c>
      <c r="C172" s="2" t="s">
        <v>176</v>
      </c>
      <c r="D172" s="3" t="n">
        <f aca="false">IF(B172="","",IFERROR(INDEX(Balance!$E$2:$E$800,MATCH(B172,Balance!$A$2:$A$800,0)),"Non trouvé"))</f>
        <v>626433322</v>
      </c>
    </row>
    <row r="173" customFormat="false" ht="15" hidden="false" customHeight="false" outlineLevel="0" collapsed="false">
      <c r="A173" s="2" t="s">
        <v>172</v>
      </c>
      <c r="B173" s="2" t="n">
        <v>764300000</v>
      </c>
      <c r="C173" s="2" t="s">
        <v>177</v>
      </c>
      <c r="D173" s="3" t="n">
        <f aca="false">IF(B173="","",IFERROR(INDEX(Balance!$E$2:$E$800,MATCH(B173,Balance!$A$2:$A$800,0)),"Non trouvé"))</f>
        <v>6677693559</v>
      </c>
    </row>
    <row r="174" customFormat="false" ht="15" hidden="false" customHeight="false" outlineLevel="0" collapsed="false">
      <c r="A174" s="2" t="s">
        <v>172</v>
      </c>
      <c r="B174" s="2" t="n">
        <v>764310000</v>
      </c>
      <c r="C174" s="2" t="s">
        <v>178</v>
      </c>
      <c r="D174" s="3" t="n">
        <f aca="false">IF(B174="","",IFERROR(INDEX(Balance!$E$2:$E$800,MATCH(B174,Balance!$A$2:$A$800,0)),"Non trouvé"))</f>
        <v>115919068</v>
      </c>
    </row>
    <row r="175" customFormat="false" ht="15" hidden="false" customHeight="false" outlineLevel="0" collapsed="false">
      <c r="A175" s="2" t="s">
        <v>172</v>
      </c>
      <c r="B175" s="2" t="n">
        <v>767000000</v>
      </c>
      <c r="C175" s="2" t="s">
        <v>179</v>
      </c>
      <c r="D175" s="3" t="n">
        <f aca="false">IF(B175="","",IFERROR(INDEX(Balance!$E$2:$E$800,MATCH(B175,Balance!$A$2:$A$800,0)),"Non trouvé"))</f>
        <v>0</v>
      </c>
    </row>
    <row r="176" customFormat="false" ht="15" hidden="false" customHeight="false" outlineLevel="0" collapsed="false">
      <c r="A176" s="2" t="s">
        <v>172</v>
      </c>
      <c r="B176" s="2" t="n">
        <v>767100000</v>
      </c>
      <c r="C176" s="2" t="s">
        <v>180</v>
      </c>
      <c r="D176" s="3" t="n">
        <f aca="false">IF(B176="","",IFERROR(INDEX(Balance!$E$2:$E$800,MATCH(B176,Balance!$A$2:$A$800,0)),"Non trouvé"))</f>
        <v>0</v>
      </c>
    </row>
    <row r="177" customFormat="false" ht="15" hidden="false" customHeight="false" outlineLevel="0" collapsed="false">
      <c r="A177" s="2" t="s">
        <v>172</v>
      </c>
      <c r="B177" s="2" t="n">
        <v>767200000</v>
      </c>
      <c r="C177" s="2" t="s">
        <v>181</v>
      </c>
      <c r="D177" s="3" t="n">
        <f aca="false">IF(B177="","",IFERROR(INDEX(Balance!$E$2:$E$800,MATCH(B177,Balance!$A$2:$A$800,0)),"Non trouvé"))</f>
        <v>0</v>
      </c>
    </row>
    <row r="179" customFormat="false" ht="15" hidden="false" customHeight="false" outlineLevel="0" collapsed="false">
      <c r="A179" s="2" t="s">
        <v>182</v>
      </c>
      <c r="B179" s="2" t="n">
        <v>769000000</v>
      </c>
      <c r="C179" s="2" t="s">
        <v>183</v>
      </c>
      <c r="D179" s="3" t="n">
        <f aca="false">IF(B179="","",IFERROR(INDEX(Balance!$E$2:$E$800,MATCH(B179,Balance!$A$2:$A$800,0)),"Non trouvé"))</f>
        <v>2425646123</v>
      </c>
    </row>
    <row r="180" customFormat="false" ht="15" hidden="false" customHeight="false" outlineLevel="0" collapsed="false">
      <c r="A180" s="2" t="s">
        <v>182</v>
      </c>
      <c r="B180" s="2" t="n">
        <v>771400000</v>
      </c>
      <c r="C180" s="2" t="s">
        <v>184</v>
      </c>
      <c r="D180" s="3" t="n">
        <f aca="false">IF(B180="","",IFERROR(INDEX(Balance!$E$2:$E$800,MATCH(B180,Balance!$A$2:$A$800,0)),"Non trouvé"))</f>
        <v>0</v>
      </c>
    </row>
    <row r="181" customFormat="false" ht="15" hidden="false" customHeight="false" outlineLevel="0" collapsed="false">
      <c r="A181" s="2" t="s">
        <v>182</v>
      </c>
      <c r="B181" s="2" t="n">
        <v>771600000</v>
      </c>
      <c r="C181" s="2" t="s">
        <v>185</v>
      </c>
      <c r="D181" s="3" t="n">
        <f aca="false">IF(B181="","",IFERROR(INDEX(Balance!$E$2:$E$800,MATCH(B181,Balance!$A$2:$A$800,0)),"Non trouvé"))</f>
        <v>0</v>
      </c>
    </row>
    <row r="182" customFormat="false" ht="15" hidden="false" customHeight="false" outlineLevel="0" collapsed="false">
      <c r="A182" s="2" t="s">
        <v>182</v>
      </c>
      <c r="B182" s="2" t="n">
        <v>771700000</v>
      </c>
      <c r="C182" s="2" t="s">
        <v>186</v>
      </c>
      <c r="D182" s="3" t="n">
        <f aca="false">IF(B182="","",IFERROR(INDEX(Balance!$E$2:$E$800,MATCH(B182,Balance!$A$2:$A$800,0)),"Non trouvé"))</f>
        <v>0</v>
      </c>
    </row>
    <row r="183" customFormat="false" ht="15" hidden="false" customHeight="false" outlineLevel="0" collapsed="false">
      <c r="A183" s="2" t="s">
        <v>182</v>
      </c>
      <c r="B183" s="2" t="n">
        <v>771900000</v>
      </c>
      <c r="C183" s="2" t="s">
        <v>187</v>
      </c>
      <c r="D183" s="3" t="n">
        <f aca="false">IF(B183="","",IFERROR(INDEX(Balance!$E$2:$E$800,MATCH(B183,Balance!$A$2:$A$800,0)),"Non trouvé"))</f>
        <v>2190751563</v>
      </c>
    </row>
    <row r="184" customFormat="false" ht="15" hidden="false" customHeight="false" outlineLevel="0" collapsed="false">
      <c r="A184" s="2" t="s">
        <v>182</v>
      </c>
      <c r="B184" s="2" t="n">
        <v>772300000</v>
      </c>
      <c r="C184" s="2" t="s">
        <v>188</v>
      </c>
      <c r="D184" s="3" t="n">
        <f aca="false">IF(B184="","",IFERROR(INDEX(Balance!$E$2:$E$800,MATCH(B184,Balance!$A$2:$A$800,0)),"Non trouvé"))</f>
        <v>20816927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</v>
      </c>
      <c r="B1" s="1" t="s">
        <v>189</v>
      </c>
      <c r="C1" s="1" t="s">
        <v>190</v>
      </c>
      <c r="D1" s="1" t="s">
        <v>191</v>
      </c>
      <c r="E1" s="1" t="s">
        <v>192</v>
      </c>
    </row>
    <row r="2" customFormat="false" ht="15" hidden="false" customHeight="false" outlineLevel="0" collapsed="false">
      <c r="A2" s="2" t="n">
        <v>49999999</v>
      </c>
      <c r="B2" s="2" t="s">
        <v>193</v>
      </c>
      <c r="C2" s="3"/>
      <c r="D2" s="3"/>
      <c r="E2" s="3" t="n">
        <f aca="false">D2-C2</f>
        <v>0</v>
      </c>
    </row>
    <row r="3" customFormat="false" ht="15" hidden="false" customHeight="false" outlineLevel="0" collapsed="false">
      <c r="A3" s="2" t="n">
        <v>101110126</v>
      </c>
      <c r="B3" s="2" t="s">
        <v>194</v>
      </c>
      <c r="C3" s="3"/>
      <c r="D3" s="3" t="n">
        <v>1</v>
      </c>
      <c r="E3" s="3" t="n">
        <f aca="false">D3-C3</f>
        <v>1</v>
      </c>
    </row>
    <row r="4" customFormat="false" ht="15" hidden="false" customHeight="false" outlineLevel="0" collapsed="false">
      <c r="A4" s="2" t="n">
        <v>101110201</v>
      </c>
      <c r="B4" s="2" t="s">
        <v>195</v>
      </c>
      <c r="C4" s="3"/>
      <c r="D4" s="3"/>
      <c r="E4" s="3" t="n">
        <f aca="false">D4-C4</f>
        <v>0</v>
      </c>
    </row>
    <row r="5" customFormat="false" ht="15" hidden="false" customHeight="false" outlineLevel="0" collapsed="false">
      <c r="A5" s="2" t="n">
        <v>101110202</v>
      </c>
      <c r="B5" s="2" t="s">
        <v>196</v>
      </c>
      <c r="C5" s="3" t="n">
        <v>50936815</v>
      </c>
      <c r="D5" s="3"/>
      <c r="E5" s="3" t="n">
        <f aca="false">D5-C5</f>
        <v>-50936815</v>
      </c>
    </row>
    <row r="6" customFormat="false" ht="15" hidden="false" customHeight="false" outlineLevel="0" collapsed="false">
      <c r="A6" s="2" t="n">
        <v>101110207</v>
      </c>
      <c r="B6" s="2" t="s">
        <v>197</v>
      </c>
      <c r="C6" s="3" t="n">
        <v>1704275</v>
      </c>
      <c r="D6" s="3"/>
      <c r="E6" s="3" t="n">
        <f aca="false">D6-C6</f>
        <v>-1704275</v>
      </c>
    </row>
    <row r="7" customFormat="false" ht="15" hidden="false" customHeight="false" outlineLevel="0" collapsed="false">
      <c r="A7" s="2" t="n">
        <v>101110208</v>
      </c>
      <c r="B7" s="2" t="s">
        <v>198</v>
      </c>
      <c r="C7" s="3"/>
      <c r="D7" s="3"/>
      <c r="E7" s="3" t="n">
        <f aca="false">D7-C7</f>
        <v>0</v>
      </c>
    </row>
    <row r="8" customFormat="false" ht="15" hidden="false" customHeight="false" outlineLevel="0" collapsed="false">
      <c r="A8" s="2" t="n">
        <v>101110209</v>
      </c>
      <c r="B8" s="2" t="s">
        <v>199</v>
      </c>
      <c r="C8" s="3" t="n">
        <v>1921000</v>
      </c>
      <c r="D8" s="3"/>
      <c r="E8" s="3" t="n">
        <f aca="false">D8-C8</f>
        <v>-1921000</v>
      </c>
    </row>
    <row r="9" customFormat="false" ht="15" hidden="false" customHeight="false" outlineLevel="0" collapsed="false">
      <c r="A9" s="2" t="n">
        <v>101110215</v>
      </c>
      <c r="B9" s="2" t="s">
        <v>200</v>
      </c>
      <c r="C9" s="3" t="n">
        <v>14718340</v>
      </c>
      <c r="D9" s="3"/>
      <c r="E9" s="3" t="n">
        <f aca="false">D9-C9</f>
        <v>-14718340</v>
      </c>
    </row>
    <row r="10" customFormat="false" ht="15" hidden="false" customHeight="false" outlineLevel="0" collapsed="false">
      <c r="A10" s="2" t="n">
        <v>101110216</v>
      </c>
      <c r="B10" s="2" t="s">
        <v>201</v>
      </c>
      <c r="C10" s="3"/>
      <c r="D10" s="3"/>
      <c r="E10" s="3" t="n">
        <f aca="false">D10-C10</f>
        <v>0</v>
      </c>
    </row>
    <row r="11" customFormat="false" ht="15" hidden="false" customHeight="false" outlineLevel="0" collapsed="false">
      <c r="A11" s="2" t="n">
        <v>101110301</v>
      </c>
      <c r="B11" s="2" t="s">
        <v>202</v>
      </c>
      <c r="C11" s="3"/>
      <c r="D11" s="3"/>
      <c r="E11" s="3" t="n">
        <f aca="false">D11-C11</f>
        <v>0</v>
      </c>
    </row>
    <row r="12" customFormat="false" ht="15" hidden="false" customHeight="false" outlineLevel="0" collapsed="false">
      <c r="A12" s="2" t="n">
        <v>101110302</v>
      </c>
      <c r="B12" s="2" t="s">
        <v>203</v>
      </c>
      <c r="C12" s="3"/>
      <c r="D12" s="3"/>
      <c r="E12" s="3" t="n">
        <f aca="false">D12-C12</f>
        <v>0</v>
      </c>
    </row>
    <row r="13" customFormat="false" ht="15" hidden="false" customHeight="false" outlineLevel="0" collapsed="false">
      <c r="A13" s="2" t="n">
        <v>101110401</v>
      </c>
      <c r="B13" s="2" t="s">
        <v>204</v>
      </c>
      <c r="C13" s="3"/>
      <c r="D13" s="3"/>
      <c r="E13" s="3" t="n">
        <f aca="false">D13-C13</f>
        <v>0</v>
      </c>
    </row>
    <row r="14" customFormat="false" ht="15" hidden="false" customHeight="false" outlineLevel="0" collapsed="false">
      <c r="A14" s="2" t="n">
        <v>101110502</v>
      </c>
      <c r="B14" s="2" t="s">
        <v>205</v>
      </c>
      <c r="C14" s="3"/>
      <c r="D14" s="3"/>
      <c r="E14" s="3" t="n">
        <f aca="false">D14-C14</f>
        <v>0</v>
      </c>
    </row>
    <row r="15" customFormat="false" ht="15" hidden="false" customHeight="false" outlineLevel="0" collapsed="false">
      <c r="A15" s="2" t="n">
        <v>101110601</v>
      </c>
      <c r="B15" s="2" t="s">
        <v>206</v>
      </c>
      <c r="C15" s="3"/>
      <c r="D15" s="3"/>
      <c r="E15" s="3" t="n">
        <f aca="false">D15-C15</f>
        <v>0</v>
      </c>
    </row>
    <row r="16" customFormat="false" ht="15" hidden="false" customHeight="false" outlineLevel="0" collapsed="false">
      <c r="A16" s="2" t="n">
        <v>101110701</v>
      </c>
      <c r="B16" s="2" t="s">
        <v>207</v>
      </c>
      <c r="C16" s="3"/>
      <c r="D16" s="3"/>
      <c r="E16" s="3" t="n">
        <f aca="false">D16-C16</f>
        <v>0</v>
      </c>
    </row>
    <row r="17" customFormat="false" ht="15" hidden="false" customHeight="false" outlineLevel="0" collapsed="false">
      <c r="A17" s="2" t="n">
        <v>101110801</v>
      </c>
      <c r="B17" s="2" t="s">
        <v>208</v>
      </c>
      <c r="C17" s="3"/>
      <c r="D17" s="3"/>
      <c r="E17" s="3" t="n">
        <f aca="false">D17-C17</f>
        <v>0</v>
      </c>
    </row>
    <row r="18" customFormat="false" ht="15" hidden="false" customHeight="false" outlineLevel="0" collapsed="false">
      <c r="A18" s="2" t="n">
        <v>101110901</v>
      </c>
      <c r="B18" s="2" t="s">
        <v>209</v>
      </c>
      <c r="C18" s="3"/>
      <c r="D18" s="3"/>
      <c r="E18" s="3" t="n">
        <f aca="false">D18-C18</f>
        <v>0</v>
      </c>
    </row>
    <row r="19" customFormat="false" ht="15" hidden="false" customHeight="false" outlineLevel="0" collapsed="false">
      <c r="A19" s="2" t="n">
        <v>101110902</v>
      </c>
      <c r="B19" s="2" t="s">
        <v>210</v>
      </c>
      <c r="C19" s="3"/>
      <c r="D19" s="3"/>
      <c r="E19" s="3" t="n">
        <f aca="false">D19-C19</f>
        <v>0</v>
      </c>
    </row>
    <row r="20" customFormat="false" ht="15" hidden="false" customHeight="false" outlineLevel="0" collapsed="false">
      <c r="A20" s="2" t="n">
        <v>101110903</v>
      </c>
      <c r="B20" s="2" t="s">
        <v>211</v>
      </c>
      <c r="C20" s="3" t="n">
        <v>10657300</v>
      </c>
      <c r="D20" s="3"/>
      <c r="E20" s="3" t="n">
        <f aca="false">D20-C20</f>
        <v>-10657300</v>
      </c>
    </row>
    <row r="21" customFormat="false" ht="15" hidden="false" customHeight="false" outlineLevel="0" collapsed="false">
      <c r="A21" s="2" t="n">
        <v>101110905</v>
      </c>
      <c r="B21" s="2" t="s">
        <v>212</v>
      </c>
      <c r="C21" s="3"/>
      <c r="D21" s="3"/>
      <c r="E21" s="3" t="n">
        <f aca="false">D21-C21</f>
        <v>0</v>
      </c>
    </row>
    <row r="22" customFormat="false" ht="15" hidden="false" customHeight="false" outlineLevel="0" collapsed="false">
      <c r="A22" s="2" t="n">
        <v>101111201</v>
      </c>
      <c r="B22" s="2" t="s">
        <v>213</v>
      </c>
      <c r="C22" s="3"/>
      <c r="D22" s="3"/>
      <c r="E22" s="3" t="n">
        <f aca="false">D22-C22</f>
        <v>0</v>
      </c>
    </row>
    <row r="23" customFormat="false" ht="15" hidden="false" customHeight="false" outlineLevel="0" collapsed="false">
      <c r="A23" s="2" t="n">
        <v>101111202</v>
      </c>
      <c r="B23" s="2" t="s">
        <v>214</v>
      </c>
      <c r="C23" s="3" t="n">
        <v>5766165</v>
      </c>
      <c r="D23" s="3"/>
      <c r="E23" s="3" t="n">
        <f aca="false">D23-C23</f>
        <v>-5766165</v>
      </c>
    </row>
    <row r="24" customFormat="false" ht="15" hidden="false" customHeight="false" outlineLevel="0" collapsed="false">
      <c r="A24" s="2" t="n">
        <v>101111301</v>
      </c>
      <c r="B24" s="2" t="s">
        <v>215</v>
      </c>
      <c r="C24" s="3"/>
      <c r="D24" s="3"/>
      <c r="E24" s="3" t="n">
        <f aca="false">D24-C24</f>
        <v>0</v>
      </c>
    </row>
    <row r="25" customFormat="false" ht="15" hidden="false" customHeight="false" outlineLevel="0" collapsed="false">
      <c r="A25" s="2" t="n">
        <v>101111302</v>
      </c>
      <c r="B25" s="2" t="s">
        <v>215</v>
      </c>
      <c r="C25" s="3"/>
      <c r="D25" s="3"/>
      <c r="E25" s="3" t="n">
        <f aca="false">D25-C25</f>
        <v>0</v>
      </c>
    </row>
    <row r="26" customFormat="false" ht="15" hidden="false" customHeight="false" outlineLevel="0" collapsed="false">
      <c r="A26" s="2" t="n">
        <v>101111503</v>
      </c>
      <c r="B26" s="2" t="s">
        <v>216</v>
      </c>
      <c r="C26" s="3"/>
      <c r="D26" s="3"/>
      <c r="E26" s="3" t="n">
        <f aca="false">D26-C26</f>
        <v>0</v>
      </c>
    </row>
    <row r="27" customFormat="false" ht="15" hidden="false" customHeight="false" outlineLevel="0" collapsed="false">
      <c r="A27" s="2" t="n">
        <v>101111903</v>
      </c>
      <c r="B27" s="2" t="s">
        <v>217</v>
      </c>
      <c r="C27" s="3" t="n">
        <v>2196205</v>
      </c>
      <c r="D27" s="3"/>
      <c r="E27" s="3" t="n">
        <f aca="false">D27-C27</f>
        <v>-2196205</v>
      </c>
    </row>
    <row r="28" customFormat="false" ht="15" hidden="false" customHeight="false" outlineLevel="0" collapsed="false">
      <c r="A28" s="2" t="n">
        <v>101111905</v>
      </c>
      <c r="B28" s="2" t="s">
        <v>218</v>
      </c>
      <c r="C28" s="3" t="n">
        <v>1177090</v>
      </c>
      <c r="D28" s="3"/>
      <c r="E28" s="3" t="n">
        <f aca="false">D28-C28</f>
        <v>-1177090</v>
      </c>
    </row>
    <row r="29" customFormat="false" ht="15" hidden="false" customHeight="false" outlineLevel="0" collapsed="false">
      <c r="A29" s="2" t="n">
        <v>101120112</v>
      </c>
      <c r="B29" s="2" t="s">
        <v>219</v>
      </c>
      <c r="C29" s="3" t="n">
        <v>19090485</v>
      </c>
      <c r="D29" s="3"/>
      <c r="E29" s="3" t="n">
        <f aca="false">D29-C29</f>
        <v>-19090485</v>
      </c>
    </row>
    <row r="30" customFormat="false" ht="15" hidden="false" customHeight="false" outlineLevel="0" collapsed="false">
      <c r="A30" s="2" t="n">
        <v>101120116</v>
      </c>
      <c r="B30" s="2" t="s">
        <v>220</v>
      </c>
      <c r="C30" s="3"/>
      <c r="D30" s="3"/>
      <c r="E30" s="3" t="n">
        <f aca="false">D30-C30</f>
        <v>0</v>
      </c>
    </row>
    <row r="31" customFormat="false" ht="15" hidden="false" customHeight="false" outlineLevel="0" collapsed="false">
      <c r="A31" s="2" t="n">
        <v>101120117</v>
      </c>
      <c r="B31" s="2" t="s">
        <v>221</v>
      </c>
      <c r="C31" s="3" t="n">
        <v>12524170</v>
      </c>
      <c r="D31" s="3"/>
      <c r="E31" s="3" t="n">
        <f aca="false">D31-C31</f>
        <v>-12524170</v>
      </c>
    </row>
    <row r="32" customFormat="false" ht="15" hidden="false" customHeight="false" outlineLevel="0" collapsed="false">
      <c r="A32" s="2" t="n">
        <v>101120118</v>
      </c>
      <c r="B32" s="2" t="s">
        <v>222</v>
      </c>
      <c r="C32" s="3" t="n">
        <v>58357910</v>
      </c>
      <c r="D32" s="3"/>
      <c r="E32" s="3" t="n">
        <f aca="false">D32-C32</f>
        <v>-58357910</v>
      </c>
    </row>
    <row r="33" customFormat="false" ht="15" hidden="false" customHeight="false" outlineLevel="0" collapsed="false">
      <c r="A33" s="2" t="n">
        <v>101120125</v>
      </c>
      <c r="B33" s="2" t="s">
        <v>223</v>
      </c>
      <c r="C33" s="3" t="n">
        <v>11439400</v>
      </c>
      <c r="D33" s="3"/>
      <c r="E33" s="3" t="n">
        <f aca="false">D33-C33</f>
        <v>-11439400</v>
      </c>
    </row>
    <row r="34" customFormat="false" ht="15" hidden="false" customHeight="false" outlineLevel="0" collapsed="false">
      <c r="A34" s="2" t="n">
        <v>101120129</v>
      </c>
      <c r="B34" s="2" t="s">
        <v>224</v>
      </c>
      <c r="C34" s="3" t="n">
        <v>9349025</v>
      </c>
      <c r="D34" s="3"/>
      <c r="E34" s="3" t="n">
        <f aca="false">D34-C34</f>
        <v>-9349025</v>
      </c>
    </row>
    <row r="35" customFormat="false" ht="15" hidden="false" customHeight="false" outlineLevel="0" collapsed="false">
      <c r="A35" s="2" t="n">
        <v>101120140</v>
      </c>
      <c r="B35" s="2" t="s">
        <v>225</v>
      </c>
      <c r="C35" s="3" t="n">
        <v>8168935</v>
      </c>
      <c r="D35" s="3"/>
      <c r="E35" s="3" t="n">
        <f aca="false">D35-C35</f>
        <v>-8168935</v>
      </c>
    </row>
    <row r="36" customFormat="false" ht="15" hidden="false" customHeight="false" outlineLevel="0" collapsed="false">
      <c r="A36" s="2" t="n">
        <v>101120150</v>
      </c>
      <c r="B36" s="2" t="s">
        <v>226</v>
      </c>
      <c r="C36" s="3" t="n">
        <v>4837325</v>
      </c>
      <c r="D36" s="3"/>
      <c r="E36" s="3" t="n">
        <f aca="false">D36-C36</f>
        <v>-4837325</v>
      </c>
    </row>
    <row r="37" customFormat="false" ht="15" hidden="false" customHeight="false" outlineLevel="0" collapsed="false">
      <c r="A37" s="2" t="n">
        <v>101120203</v>
      </c>
      <c r="B37" s="2" t="s">
        <v>227</v>
      </c>
      <c r="C37" s="3" t="n">
        <v>102789223</v>
      </c>
      <c r="D37" s="3"/>
      <c r="E37" s="3" t="n">
        <f aca="false">D37-C37</f>
        <v>-102789223</v>
      </c>
    </row>
    <row r="38" customFormat="false" ht="15" hidden="false" customHeight="false" outlineLevel="0" collapsed="false">
      <c r="A38" s="2" t="n">
        <v>101120204</v>
      </c>
      <c r="B38" s="2" t="s">
        <v>228</v>
      </c>
      <c r="C38" s="3" t="n">
        <v>3896305</v>
      </c>
      <c r="D38" s="3"/>
      <c r="E38" s="3" t="n">
        <f aca="false">D38-C38</f>
        <v>-3896305</v>
      </c>
    </row>
    <row r="39" customFormat="false" ht="15" hidden="false" customHeight="false" outlineLevel="0" collapsed="false">
      <c r="A39" s="2" t="n">
        <v>101120205</v>
      </c>
      <c r="B39" s="2" t="s">
        <v>229</v>
      </c>
      <c r="C39" s="3" t="n">
        <v>3061100</v>
      </c>
      <c r="D39" s="3"/>
      <c r="E39" s="3" t="n">
        <f aca="false">D39-C39</f>
        <v>-3061100</v>
      </c>
    </row>
    <row r="40" customFormat="false" ht="15" hidden="false" customHeight="false" outlineLevel="0" collapsed="false">
      <c r="A40" s="2" t="n">
        <v>101120206</v>
      </c>
      <c r="B40" s="2" t="s">
        <v>230</v>
      </c>
      <c r="C40" s="3" t="n">
        <v>33157365</v>
      </c>
      <c r="D40" s="3"/>
      <c r="E40" s="3" t="n">
        <f aca="false">D40-C40</f>
        <v>-33157365</v>
      </c>
    </row>
    <row r="41" customFormat="false" ht="15" hidden="false" customHeight="false" outlineLevel="0" collapsed="false">
      <c r="A41" s="2" t="n">
        <v>101120211</v>
      </c>
      <c r="B41" s="2" t="s">
        <v>231</v>
      </c>
      <c r="C41" s="3" t="n">
        <v>57777590</v>
      </c>
      <c r="D41" s="3"/>
      <c r="E41" s="3" t="n">
        <f aca="false">D41-C41</f>
        <v>-57777590</v>
      </c>
    </row>
    <row r="42" customFormat="false" ht="15" hidden="false" customHeight="false" outlineLevel="0" collapsed="false">
      <c r="A42" s="2" t="n">
        <v>101120212</v>
      </c>
      <c r="B42" s="2" t="s">
        <v>232</v>
      </c>
      <c r="C42" s="3" t="n">
        <v>9107420</v>
      </c>
      <c r="D42" s="3"/>
      <c r="E42" s="3" t="n">
        <f aca="false">D42-C42</f>
        <v>-9107420</v>
      </c>
    </row>
    <row r="43" customFormat="false" ht="15" hidden="false" customHeight="false" outlineLevel="0" collapsed="false">
      <c r="A43" s="2" t="n">
        <v>101120216</v>
      </c>
      <c r="B43" s="2" t="s">
        <v>233</v>
      </c>
      <c r="C43" s="3"/>
      <c r="D43" s="3"/>
      <c r="E43" s="3" t="n">
        <f aca="false">D43-C43</f>
        <v>0</v>
      </c>
    </row>
    <row r="44" customFormat="false" ht="15" hidden="false" customHeight="false" outlineLevel="0" collapsed="false">
      <c r="A44" s="2" t="n">
        <v>101120303</v>
      </c>
      <c r="B44" s="2" t="s">
        <v>234</v>
      </c>
      <c r="C44" s="3" t="n">
        <v>3700785</v>
      </c>
      <c r="D44" s="3"/>
      <c r="E44" s="3" t="n">
        <f aca="false">D44-C44</f>
        <v>-3700785</v>
      </c>
    </row>
    <row r="45" customFormat="false" ht="15" hidden="false" customHeight="false" outlineLevel="0" collapsed="false">
      <c r="A45" s="2" t="n">
        <v>101120403</v>
      </c>
      <c r="B45" s="2" t="s">
        <v>235</v>
      </c>
      <c r="C45" s="3"/>
      <c r="D45" s="3"/>
      <c r="E45" s="3" t="n">
        <f aca="false">D45-C45</f>
        <v>0</v>
      </c>
    </row>
    <row r="46" customFormat="false" ht="15" hidden="false" customHeight="false" outlineLevel="0" collapsed="false">
      <c r="A46" s="2" t="n">
        <v>101120404</v>
      </c>
      <c r="B46" s="2" t="s">
        <v>236</v>
      </c>
      <c r="C46" s="3" t="n">
        <v>5826925</v>
      </c>
      <c r="D46" s="3"/>
      <c r="E46" s="3" t="n">
        <f aca="false">D46-C46</f>
        <v>-5826925</v>
      </c>
    </row>
    <row r="47" customFormat="false" ht="15" hidden="false" customHeight="false" outlineLevel="0" collapsed="false">
      <c r="A47" s="2" t="n">
        <v>101120405</v>
      </c>
      <c r="B47" s="2" t="s">
        <v>237</v>
      </c>
      <c r="C47" s="3" t="n">
        <v>1109000</v>
      </c>
      <c r="D47" s="3"/>
      <c r="E47" s="3" t="n">
        <f aca="false">D47-C47</f>
        <v>-1109000</v>
      </c>
    </row>
    <row r="48" customFormat="false" ht="15" hidden="false" customHeight="false" outlineLevel="0" collapsed="false">
      <c r="A48" s="2" t="n">
        <v>101120502</v>
      </c>
      <c r="B48" s="2" t="s">
        <v>238</v>
      </c>
      <c r="C48" s="3" t="n">
        <v>18494285</v>
      </c>
      <c r="D48" s="3"/>
      <c r="E48" s="3" t="n">
        <f aca="false">D48-C48</f>
        <v>-18494285</v>
      </c>
    </row>
    <row r="49" customFormat="false" ht="15" hidden="false" customHeight="false" outlineLevel="0" collapsed="false">
      <c r="A49" s="2" t="n">
        <v>101120503</v>
      </c>
      <c r="B49" s="2" t="s">
        <v>239</v>
      </c>
      <c r="C49" s="3" t="n">
        <v>77381456</v>
      </c>
      <c r="D49" s="3"/>
      <c r="E49" s="3" t="n">
        <f aca="false">D49-C49</f>
        <v>-77381456</v>
      </c>
    </row>
    <row r="50" customFormat="false" ht="15" hidden="false" customHeight="false" outlineLevel="0" collapsed="false">
      <c r="A50" s="2" t="n">
        <v>101120511</v>
      </c>
      <c r="B50" s="2" t="s">
        <v>240</v>
      </c>
      <c r="C50" s="3" t="n">
        <v>607250</v>
      </c>
      <c r="D50" s="3"/>
      <c r="E50" s="3" t="n">
        <f aca="false">D50-C50</f>
        <v>-607250</v>
      </c>
    </row>
    <row r="51" customFormat="false" ht="15" hidden="false" customHeight="false" outlineLevel="0" collapsed="false">
      <c r="A51" s="2" t="n">
        <v>101120513</v>
      </c>
      <c r="B51" s="2" t="s">
        <v>241</v>
      </c>
      <c r="C51" s="3" t="n">
        <v>4946990</v>
      </c>
      <c r="D51" s="3"/>
      <c r="E51" s="3" t="n">
        <f aca="false">D51-C51</f>
        <v>-4946990</v>
      </c>
    </row>
    <row r="52" customFormat="false" ht="15" hidden="false" customHeight="false" outlineLevel="0" collapsed="false">
      <c r="A52" s="2" t="n">
        <v>101120515</v>
      </c>
      <c r="B52" s="2" t="s">
        <v>242</v>
      </c>
      <c r="C52" s="3" t="n">
        <v>16231370</v>
      </c>
      <c r="D52" s="3"/>
      <c r="E52" s="3" t="n">
        <f aca="false">D52-C52</f>
        <v>-16231370</v>
      </c>
    </row>
    <row r="53" customFormat="false" ht="15" hidden="false" customHeight="false" outlineLevel="0" collapsed="false">
      <c r="A53" s="2" t="n">
        <v>101120516</v>
      </c>
      <c r="B53" s="2" t="s">
        <v>243</v>
      </c>
      <c r="C53" s="3" t="n">
        <v>7767895</v>
      </c>
      <c r="D53" s="3"/>
      <c r="E53" s="3" t="n">
        <f aca="false">D53-C53</f>
        <v>-7767895</v>
      </c>
    </row>
    <row r="54" customFormat="false" ht="15" hidden="false" customHeight="false" outlineLevel="0" collapsed="false">
      <c r="A54" s="2" t="n">
        <v>101120607</v>
      </c>
      <c r="B54" s="2" t="s">
        <v>244</v>
      </c>
      <c r="C54" s="3" t="n">
        <v>8198850</v>
      </c>
      <c r="D54" s="3"/>
      <c r="E54" s="3" t="n">
        <f aca="false">D54-C54</f>
        <v>-8198850</v>
      </c>
    </row>
    <row r="55" customFormat="false" ht="15" hidden="false" customHeight="false" outlineLevel="0" collapsed="false">
      <c r="A55" s="2" t="n">
        <v>101120707</v>
      </c>
      <c r="B55" s="2" t="s">
        <v>245</v>
      </c>
      <c r="C55" s="3" t="n">
        <v>9499580</v>
      </c>
      <c r="D55" s="3"/>
      <c r="E55" s="3" t="n">
        <f aca="false">D55-C55</f>
        <v>-9499580</v>
      </c>
    </row>
    <row r="56" customFormat="false" ht="15" hidden="false" customHeight="false" outlineLevel="0" collapsed="false">
      <c r="A56" s="2" t="n">
        <v>101120708</v>
      </c>
      <c r="B56" s="2" t="s">
        <v>246</v>
      </c>
      <c r="C56" s="3" t="n">
        <v>823565</v>
      </c>
      <c r="D56" s="3"/>
      <c r="E56" s="3" t="n">
        <f aca="false">D56-C56</f>
        <v>-823565</v>
      </c>
    </row>
    <row r="57" customFormat="false" ht="15" hidden="false" customHeight="false" outlineLevel="0" collapsed="false">
      <c r="A57" s="2" t="n">
        <v>101120803</v>
      </c>
      <c r="B57" s="2" t="s">
        <v>247</v>
      </c>
      <c r="C57" s="3" t="n">
        <v>5234415</v>
      </c>
      <c r="D57" s="3"/>
      <c r="E57" s="3" t="n">
        <f aca="false">D57-C57</f>
        <v>-5234415</v>
      </c>
    </row>
    <row r="58" customFormat="false" ht="15" hidden="false" customHeight="false" outlineLevel="0" collapsed="false">
      <c r="A58" s="2" t="n">
        <v>101120805</v>
      </c>
      <c r="B58" s="2" t="s">
        <v>248</v>
      </c>
      <c r="C58" s="3" t="n">
        <v>37643000</v>
      </c>
      <c r="D58" s="3"/>
      <c r="E58" s="3" t="n">
        <f aca="false">D58-C58</f>
        <v>-37643000</v>
      </c>
    </row>
    <row r="59" customFormat="false" ht="15" hidden="false" customHeight="false" outlineLevel="0" collapsed="false">
      <c r="A59" s="2" t="n">
        <v>101120806</v>
      </c>
      <c r="B59" s="2" t="s">
        <v>249</v>
      </c>
      <c r="C59" s="3" t="n">
        <v>7564500</v>
      </c>
      <c r="D59" s="3"/>
      <c r="E59" s="3" t="n">
        <f aca="false">D59-C59</f>
        <v>-7564500</v>
      </c>
    </row>
    <row r="60" customFormat="false" ht="15" hidden="false" customHeight="false" outlineLevel="0" collapsed="false">
      <c r="A60" s="2" t="n">
        <v>101120807</v>
      </c>
      <c r="B60" s="2" t="s">
        <v>250</v>
      </c>
      <c r="C60" s="3" t="n">
        <v>9023885</v>
      </c>
      <c r="D60" s="3"/>
      <c r="E60" s="3" t="n">
        <f aca="false">D60-C60</f>
        <v>-9023885</v>
      </c>
    </row>
    <row r="61" customFormat="false" ht="15" hidden="false" customHeight="false" outlineLevel="0" collapsed="false">
      <c r="A61" s="2" t="n">
        <v>101120812</v>
      </c>
      <c r="B61" s="2" t="s">
        <v>251</v>
      </c>
      <c r="C61" s="3" t="n">
        <v>35541650</v>
      </c>
      <c r="D61" s="3"/>
      <c r="E61" s="3" t="n">
        <f aca="false">D61-C61</f>
        <v>-35541650</v>
      </c>
    </row>
    <row r="62" customFormat="false" ht="15" hidden="false" customHeight="false" outlineLevel="0" collapsed="false">
      <c r="A62" s="2" t="n">
        <v>101120905</v>
      </c>
      <c r="B62" s="2" t="s">
        <v>252</v>
      </c>
      <c r="C62" s="3" t="n">
        <v>21260275</v>
      </c>
      <c r="D62" s="3"/>
      <c r="E62" s="3" t="n">
        <f aca="false">D62-C62</f>
        <v>-21260275</v>
      </c>
    </row>
    <row r="63" customFormat="false" ht="15" hidden="false" customHeight="false" outlineLevel="0" collapsed="false">
      <c r="A63" s="2" t="n">
        <v>101120906</v>
      </c>
      <c r="B63" s="2" t="s">
        <v>253</v>
      </c>
      <c r="C63" s="3" t="n">
        <v>1139175</v>
      </c>
      <c r="D63" s="3"/>
      <c r="E63" s="3" t="n">
        <f aca="false">D63-C63</f>
        <v>-1139175</v>
      </c>
    </row>
    <row r="64" customFormat="false" ht="15" hidden="false" customHeight="false" outlineLevel="0" collapsed="false">
      <c r="A64" s="2" t="n">
        <v>101120908</v>
      </c>
      <c r="B64" s="2" t="s">
        <v>254</v>
      </c>
      <c r="C64" s="3" t="n">
        <v>14646735</v>
      </c>
      <c r="D64" s="3"/>
      <c r="E64" s="3" t="n">
        <f aca="false">D64-C64</f>
        <v>-14646735</v>
      </c>
    </row>
    <row r="65" customFormat="false" ht="15" hidden="false" customHeight="false" outlineLevel="0" collapsed="false">
      <c r="A65" s="2" t="n">
        <v>101120909</v>
      </c>
      <c r="B65" s="2" t="s">
        <v>255</v>
      </c>
      <c r="C65" s="3" t="n">
        <v>1469900</v>
      </c>
      <c r="D65" s="3"/>
      <c r="E65" s="3" t="n">
        <f aca="false">D65-C65</f>
        <v>-1469900</v>
      </c>
    </row>
    <row r="66" customFormat="false" ht="15" hidden="false" customHeight="false" outlineLevel="0" collapsed="false">
      <c r="A66" s="2" t="n">
        <v>101120910</v>
      </c>
      <c r="B66" s="2" t="s">
        <v>256</v>
      </c>
      <c r="C66" s="3"/>
      <c r="D66" s="3"/>
      <c r="E66" s="3" t="n">
        <f aca="false">D66-C66</f>
        <v>0</v>
      </c>
    </row>
    <row r="67" customFormat="false" ht="15" hidden="false" customHeight="false" outlineLevel="0" collapsed="false">
      <c r="A67" s="2" t="n">
        <v>101120911</v>
      </c>
      <c r="B67" s="2" t="s">
        <v>257</v>
      </c>
      <c r="C67" s="3" t="n">
        <v>954100</v>
      </c>
      <c r="D67" s="3"/>
      <c r="E67" s="3" t="n">
        <f aca="false">D67-C67</f>
        <v>-954100</v>
      </c>
    </row>
    <row r="68" customFormat="false" ht="15" hidden="false" customHeight="false" outlineLevel="0" collapsed="false">
      <c r="A68" s="2" t="n">
        <v>101121009</v>
      </c>
      <c r="B68" s="2" t="s">
        <v>258</v>
      </c>
      <c r="C68" s="3"/>
      <c r="D68" s="3"/>
      <c r="E68" s="3" t="n">
        <f aca="false">D68-C68</f>
        <v>0</v>
      </c>
    </row>
    <row r="69" customFormat="false" ht="15" hidden="false" customHeight="false" outlineLevel="0" collapsed="false">
      <c r="A69" s="2" t="n">
        <v>101121010</v>
      </c>
      <c r="B69" s="2" t="s">
        <v>259</v>
      </c>
      <c r="C69" s="3" t="n">
        <v>12272745</v>
      </c>
      <c r="D69" s="3"/>
      <c r="E69" s="3" t="n">
        <f aca="false">D69-C69</f>
        <v>-12272745</v>
      </c>
    </row>
    <row r="70" customFormat="false" ht="15" hidden="false" customHeight="false" outlineLevel="0" collapsed="false">
      <c r="A70" s="2" t="n">
        <v>101121011</v>
      </c>
      <c r="B70" s="2" t="s">
        <v>258</v>
      </c>
      <c r="C70" s="3"/>
      <c r="D70" s="3"/>
      <c r="E70" s="3" t="n">
        <f aca="false">D70-C70</f>
        <v>0</v>
      </c>
    </row>
    <row r="71" customFormat="false" ht="15" hidden="false" customHeight="false" outlineLevel="0" collapsed="false">
      <c r="A71" s="2" t="n">
        <v>101121014</v>
      </c>
      <c r="B71" s="2" t="s">
        <v>260</v>
      </c>
      <c r="C71" s="3" t="n">
        <v>10223314</v>
      </c>
      <c r="D71" s="3"/>
      <c r="E71" s="3" t="n">
        <f aca="false">D71-C71</f>
        <v>-10223314</v>
      </c>
    </row>
    <row r="72" customFormat="false" ht="15" hidden="false" customHeight="false" outlineLevel="0" collapsed="false">
      <c r="A72" s="2" t="n">
        <v>101121015</v>
      </c>
      <c r="B72" s="2" t="s">
        <v>261</v>
      </c>
      <c r="C72" s="3" t="n">
        <v>10406360</v>
      </c>
      <c r="D72" s="3"/>
      <c r="E72" s="3" t="n">
        <f aca="false">D72-C72</f>
        <v>-10406360</v>
      </c>
    </row>
    <row r="73" customFormat="false" ht="15" hidden="false" customHeight="false" outlineLevel="0" collapsed="false">
      <c r="A73" s="2" t="n">
        <v>101121016</v>
      </c>
      <c r="B73" s="2" t="s">
        <v>262</v>
      </c>
      <c r="C73" s="3" t="n">
        <v>718000</v>
      </c>
      <c r="D73" s="3"/>
      <c r="E73" s="3" t="n">
        <f aca="false">D73-C73</f>
        <v>-718000</v>
      </c>
    </row>
    <row r="74" customFormat="false" ht="15" hidden="false" customHeight="false" outlineLevel="0" collapsed="false">
      <c r="A74" s="2" t="n">
        <v>101121017</v>
      </c>
      <c r="B74" s="2" t="s">
        <v>263</v>
      </c>
      <c r="C74" s="3" t="n">
        <v>189173345</v>
      </c>
      <c r="D74" s="3"/>
      <c r="E74" s="3" t="n">
        <f aca="false">D74-C74</f>
        <v>-189173345</v>
      </c>
    </row>
    <row r="75" customFormat="false" ht="15" hidden="false" customHeight="false" outlineLevel="0" collapsed="false">
      <c r="A75" s="2" t="n">
        <v>101121031</v>
      </c>
      <c r="B75" s="2" t="s">
        <v>264</v>
      </c>
      <c r="C75" s="3" t="n">
        <v>9898080</v>
      </c>
      <c r="D75" s="3"/>
      <c r="E75" s="3" t="n">
        <f aca="false">D75-C75</f>
        <v>-9898080</v>
      </c>
    </row>
    <row r="76" customFormat="false" ht="15" hidden="false" customHeight="false" outlineLevel="0" collapsed="false">
      <c r="A76" s="2" t="n">
        <v>101121036</v>
      </c>
      <c r="B76" s="2" t="s">
        <v>265</v>
      </c>
      <c r="C76" s="3" t="n">
        <v>3309485</v>
      </c>
      <c r="D76" s="3"/>
      <c r="E76" s="3" t="n">
        <f aca="false">D76-C76</f>
        <v>-3309485</v>
      </c>
    </row>
    <row r="77" customFormat="false" ht="15" hidden="false" customHeight="false" outlineLevel="0" collapsed="false">
      <c r="A77" s="2" t="n">
        <v>101121041</v>
      </c>
      <c r="B77" s="2" t="s">
        <v>266</v>
      </c>
      <c r="C77" s="3" t="n">
        <v>10526535</v>
      </c>
      <c r="D77" s="3"/>
      <c r="E77" s="3" t="n">
        <f aca="false">D77-C77</f>
        <v>-10526535</v>
      </c>
    </row>
    <row r="78" customFormat="false" ht="15" hidden="false" customHeight="false" outlineLevel="0" collapsed="false">
      <c r="A78" s="2" t="n">
        <v>101121116</v>
      </c>
      <c r="B78" s="2" t="s">
        <v>267</v>
      </c>
      <c r="C78" s="3" t="n">
        <v>5008375</v>
      </c>
      <c r="D78" s="3"/>
      <c r="E78" s="3" t="n">
        <f aca="false">D78-C78</f>
        <v>-5008375</v>
      </c>
    </row>
    <row r="79" customFormat="false" ht="15" hidden="false" customHeight="false" outlineLevel="0" collapsed="false">
      <c r="A79" s="2" t="n">
        <v>101121206</v>
      </c>
      <c r="B79" s="2" t="s">
        <v>268</v>
      </c>
      <c r="C79" s="3" t="n">
        <v>1149680</v>
      </c>
      <c r="D79" s="3"/>
      <c r="E79" s="3" t="n">
        <f aca="false">D79-C79</f>
        <v>-1149680</v>
      </c>
    </row>
    <row r="80" customFormat="false" ht="15" hidden="false" customHeight="false" outlineLevel="0" collapsed="false">
      <c r="A80" s="2" t="n">
        <v>101121207</v>
      </c>
      <c r="B80" s="2" t="s">
        <v>269</v>
      </c>
      <c r="C80" s="3" t="n">
        <v>20739555</v>
      </c>
      <c r="D80" s="3"/>
      <c r="E80" s="3" t="n">
        <f aca="false">D80-C80</f>
        <v>-20739555</v>
      </c>
    </row>
    <row r="81" customFormat="false" ht="15" hidden="false" customHeight="false" outlineLevel="0" collapsed="false">
      <c r="A81" s="2" t="n">
        <v>101121208</v>
      </c>
      <c r="B81" s="2" t="s">
        <v>270</v>
      </c>
      <c r="C81" s="3" t="n">
        <v>23005425</v>
      </c>
      <c r="D81" s="3"/>
      <c r="E81" s="3" t="n">
        <f aca="false">D81-C81</f>
        <v>-23005425</v>
      </c>
    </row>
    <row r="82" customFormat="false" ht="15" hidden="false" customHeight="false" outlineLevel="0" collapsed="false">
      <c r="A82" s="2" t="n">
        <v>101121216</v>
      </c>
      <c r="B82" s="2" t="s">
        <v>271</v>
      </c>
      <c r="C82" s="3" t="n">
        <v>9698125</v>
      </c>
      <c r="D82" s="3"/>
      <c r="E82" s="3" t="n">
        <f aca="false">D82-C82</f>
        <v>-9698125</v>
      </c>
    </row>
    <row r="83" customFormat="false" ht="15" hidden="false" customHeight="false" outlineLevel="0" collapsed="false">
      <c r="A83" s="2" t="n">
        <v>101121304</v>
      </c>
      <c r="B83" s="2" t="s">
        <v>272</v>
      </c>
      <c r="C83" s="3" t="n">
        <v>2298250</v>
      </c>
      <c r="D83" s="3"/>
      <c r="E83" s="3" t="n">
        <f aca="false">D83-C83</f>
        <v>-2298250</v>
      </c>
    </row>
    <row r="84" customFormat="false" ht="15" hidden="false" customHeight="false" outlineLevel="0" collapsed="false">
      <c r="A84" s="2" t="n">
        <v>101121305</v>
      </c>
      <c r="B84" s="2" t="s">
        <v>273</v>
      </c>
      <c r="C84" s="3"/>
      <c r="D84" s="3"/>
      <c r="E84" s="3" t="n">
        <f aca="false">D84-C84</f>
        <v>0</v>
      </c>
    </row>
    <row r="85" customFormat="false" ht="15" hidden="false" customHeight="false" outlineLevel="0" collapsed="false">
      <c r="A85" s="2" t="n">
        <v>101121306</v>
      </c>
      <c r="B85" s="2" t="s">
        <v>274</v>
      </c>
      <c r="C85" s="3" t="n">
        <v>1608075</v>
      </c>
      <c r="D85" s="3"/>
      <c r="E85" s="3" t="n">
        <f aca="false">D85-C85</f>
        <v>-1608075</v>
      </c>
    </row>
    <row r="86" customFormat="false" ht="15" hidden="false" customHeight="false" outlineLevel="0" collapsed="false">
      <c r="A86" s="2" t="n">
        <v>101121307</v>
      </c>
      <c r="B86" s="2" t="s">
        <v>275</v>
      </c>
      <c r="C86" s="3"/>
      <c r="D86" s="3"/>
      <c r="E86" s="3" t="n">
        <f aca="false">D86-C86</f>
        <v>0</v>
      </c>
    </row>
    <row r="87" customFormat="false" ht="15" hidden="false" customHeight="false" outlineLevel="0" collapsed="false">
      <c r="A87" s="2" t="n">
        <v>101121416</v>
      </c>
      <c r="B87" s="2" t="s">
        <v>276</v>
      </c>
      <c r="C87" s="3" t="n">
        <v>15560340</v>
      </c>
      <c r="D87" s="3"/>
      <c r="E87" s="3" t="n">
        <f aca="false">D87-C87</f>
        <v>-15560340</v>
      </c>
    </row>
    <row r="88" customFormat="false" ht="15" hidden="false" customHeight="false" outlineLevel="0" collapsed="false">
      <c r="A88" s="2" t="n">
        <v>101121418</v>
      </c>
      <c r="B88" s="2" t="s">
        <v>277</v>
      </c>
      <c r="C88" s="3" t="n">
        <v>6510565</v>
      </c>
      <c r="D88" s="3"/>
      <c r="E88" s="3" t="n">
        <f aca="false">D88-C88</f>
        <v>-6510565</v>
      </c>
    </row>
    <row r="89" customFormat="false" ht="15" hidden="false" customHeight="false" outlineLevel="0" collapsed="false">
      <c r="A89" s="2" t="n">
        <v>101121427</v>
      </c>
      <c r="B89" s="2" t="s">
        <v>278</v>
      </c>
      <c r="C89" s="3" t="n">
        <v>4518585</v>
      </c>
      <c r="D89" s="3"/>
      <c r="E89" s="3" t="n">
        <f aca="false">D89-C89</f>
        <v>-4518585</v>
      </c>
    </row>
    <row r="90" customFormat="false" ht="15" hidden="false" customHeight="false" outlineLevel="0" collapsed="false">
      <c r="A90" s="2" t="n">
        <v>101121433</v>
      </c>
      <c r="B90" s="2" t="s">
        <v>279</v>
      </c>
      <c r="C90" s="3" t="n">
        <v>81320370</v>
      </c>
      <c r="D90" s="3"/>
      <c r="E90" s="3" t="n">
        <f aca="false">D90-C90</f>
        <v>-81320370</v>
      </c>
    </row>
    <row r="91" customFormat="false" ht="15" hidden="false" customHeight="false" outlineLevel="0" collapsed="false">
      <c r="A91" s="2" t="n">
        <v>101121434</v>
      </c>
      <c r="B91" s="2" t="s">
        <v>280</v>
      </c>
      <c r="C91" s="3" t="n">
        <v>7925007</v>
      </c>
      <c r="D91" s="3"/>
      <c r="E91" s="3" t="n">
        <f aca="false">D91-C91</f>
        <v>-7925007</v>
      </c>
    </row>
    <row r="92" customFormat="false" ht="15" hidden="false" customHeight="false" outlineLevel="0" collapsed="false">
      <c r="A92" s="2" t="n">
        <v>101121435</v>
      </c>
      <c r="B92" s="2" t="s">
        <v>281</v>
      </c>
      <c r="C92" s="3" t="n">
        <v>11473775</v>
      </c>
      <c r="D92" s="3"/>
      <c r="E92" s="3" t="n">
        <f aca="false">D92-C92</f>
        <v>-11473775</v>
      </c>
    </row>
    <row r="93" customFormat="false" ht="15" hidden="false" customHeight="false" outlineLevel="0" collapsed="false">
      <c r="A93" s="2" t="n">
        <v>101121441</v>
      </c>
      <c r="B93" s="2" t="s">
        <v>282</v>
      </c>
      <c r="C93" s="3" t="n">
        <v>47111200</v>
      </c>
      <c r="D93" s="3"/>
      <c r="E93" s="3" t="n">
        <f aca="false">D93-C93</f>
        <v>-47111200</v>
      </c>
    </row>
    <row r="94" customFormat="false" ht="15" hidden="false" customHeight="false" outlineLevel="0" collapsed="false">
      <c r="A94" s="2" t="n">
        <v>101121442</v>
      </c>
      <c r="B94" s="2" t="s">
        <v>283</v>
      </c>
      <c r="C94" s="3" t="n">
        <v>3637220</v>
      </c>
      <c r="D94" s="3"/>
      <c r="E94" s="3" t="n">
        <f aca="false">D94-C94</f>
        <v>-3637220</v>
      </c>
    </row>
    <row r="95" customFormat="false" ht="15" hidden="false" customHeight="false" outlineLevel="0" collapsed="false">
      <c r="A95" s="2" t="n">
        <v>101121502</v>
      </c>
      <c r="B95" s="2" t="s">
        <v>284</v>
      </c>
      <c r="C95" s="3"/>
      <c r="D95" s="3"/>
      <c r="E95" s="3" t="n">
        <f aca="false">D95-C95</f>
        <v>0</v>
      </c>
    </row>
    <row r="96" customFormat="false" ht="15" hidden="false" customHeight="false" outlineLevel="0" collapsed="false">
      <c r="A96" s="2" t="n">
        <v>101121503</v>
      </c>
      <c r="B96" s="2" t="s">
        <v>285</v>
      </c>
      <c r="C96" s="3"/>
      <c r="D96" s="3"/>
      <c r="E96" s="3" t="n">
        <f aca="false">D96-C96</f>
        <v>0</v>
      </c>
    </row>
    <row r="97" customFormat="false" ht="15" hidden="false" customHeight="false" outlineLevel="0" collapsed="false">
      <c r="A97" s="2" t="n">
        <v>101121515</v>
      </c>
      <c r="B97" s="2" t="s">
        <v>286</v>
      </c>
      <c r="C97" s="3" t="n">
        <v>6967520</v>
      </c>
      <c r="D97" s="3"/>
      <c r="E97" s="3" t="n">
        <f aca="false">D97-C97</f>
        <v>-6967520</v>
      </c>
    </row>
    <row r="98" customFormat="false" ht="15" hidden="false" customHeight="false" outlineLevel="0" collapsed="false">
      <c r="A98" s="2" t="n">
        <v>101122116</v>
      </c>
      <c r="B98" s="2" t="s">
        <v>287</v>
      </c>
      <c r="C98" s="3" t="n">
        <v>1909290</v>
      </c>
      <c r="D98" s="3"/>
      <c r="E98" s="3" t="n">
        <f aca="false">D98-C98</f>
        <v>-1909290</v>
      </c>
    </row>
    <row r="99" customFormat="false" ht="15" hidden="false" customHeight="false" outlineLevel="0" collapsed="false">
      <c r="A99" s="2" t="n">
        <v>101130124</v>
      </c>
      <c r="B99" s="2" t="s">
        <v>288</v>
      </c>
      <c r="C99" s="3" t="n">
        <v>40925184</v>
      </c>
      <c r="D99" s="3"/>
      <c r="E99" s="3" t="n">
        <f aca="false">D99-C99</f>
        <v>-40925184</v>
      </c>
    </row>
    <row r="100" customFormat="false" ht="15" hidden="false" customHeight="false" outlineLevel="0" collapsed="false">
      <c r="A100" s="2" t="n">
        <v>101130125</v>
      </c>
      <c r="B100" s="2" t="s">
        <v>289</v>
      </c>
      <c r="C100" s="3" t="n">
        <v>197739000</v>
      </c>
      <c r="D100" s="3"/>
      <c r="E100" s="3" t="n">
        <f aca="false">D100-C100</f>
        <v>-197739000</v>
      </c>
    </row>
    <row r="101" customFormat="false" ht="15" hidden="false" customHeight="false" outlineLevel="0" collapsed="false">
      <c r="A101" s="2" t="n">
        <v>101130201</v>
      </c>
      <c r="B101" s="2" t="s">
        <v>290</v>
      </c>
      <c r="C101" s="3" t="n">
        <v>147419905</v>
      </c>
      <c r="D101" s="3"/>
      <c r="E101" s="3" t="n">
        <f aca="false">D101-C101</f>
        <v>-147419905</v>
      </c>
    </row>
    <row r="102" customFormat="false" ht="15" hidden="false" customHeight="false" outlineLevel="0" collapsed="false">
      <c r="A102" s="2" t="n">
        <v>101130206</v>
      </c>
      <c r="B102" s="2" t="s">
        <v>291</v>
      </c>
      <c r="C102" s="3"/>
      <c r="D102" s="3"/>
      <c r="E102" s="3" t="n">
        <f aca="false">D102-C102</f>
        <v>0</v>
      </c>
    </row>
    <row r="103" customFormat="false" ht="15" hidden="false" customHeight="false" outlineLevel="0" collapsed="false">
      <c r="A103" s="2" t="n">
        <v>101130207</v>
      </c>
      <c r="B103" s="2" t="s">
        <v>292</v>
      </c>
      <c r="C103" s="3" t="n">
        <v>1</v>
      </c>
      <c r="D103" s="3"/>
      <c r="E103" s="3" t="n">
        <f aca="false">D103-C103</f>
        <v>-1</v>
      </c>
    </row>
    <row r="104" customFormat="false" ht="15" hidden="false" customHeight="false" outlineLevel="0" collapsed="false">
      <c r="A104" s="2" t="n">
        <v>101130301</v>
      </c>
      <c r="B104" s="2" t="s">
        <v>293</v>
      </c>
      <c r="C104" s="3" t="n">
        <v>36898040</v>
      </c>
      <c r="D104" s="3"/>
      <c r="E104" s="3" t="n">
        <f aca="false">D104-C104</f>
        <v>-36898040</v>
      </c>
    </row>
    <row r="105" customFormat="false" ht="15" hidden="false" customHeight="false" outlineLevel="0" collapsed="false">
      <c r="A105" s="2" t="n">
        <v>101130302</v>
      </c>
      <c r="B105" s="2" t="s">
        <v>294</v>
      </c>
      <c r="C105" s="3"/>
      <c r="D105" s="3"/>
      <c r="E105" s="3" t="n">
        <f aca="false">D105-C105</f>
        <v>0</v>
      </c>
    </row>
    <row r="106" customFormat="false" ht="15" hidden="false" customHeight="false" outlineLevel="0" collapsed="false">
      <c r="A106" s="2" t="n">
        <v>101130303</v>
      </c>
      <c r="B106" s="2" t="s">
        <v>295</v>
      </c>
      <c r="C106" s="3" t="n">
        <v>7994625</v>
      </c>
      <c r="D106" s="3"/>
      <c r="E106" s="3" t="n">
        <f aca="false">D106-C106</f>
        <v>-7994625</v>
      </c>
    </row>
    <row r="107" customFormat="false" ht="15" hidden="false" customHeight="false" outlineLevel="0" collapsed="false">
      <c r="A107" s="2" t="n">
        <v>101130304</v>
      </c>
      <c r="B107" s="2" t="s">
        <v>296</v>
      </c>
      <c r="C107" s="3" t="n">
        <v>1831740</v>
      </c>
      <c r="D107" s="3"/>
      <c r="E107" s="3" t="n">
        <f aca="false">D107-C107</f>
        <v>-1831740</v>
      </c>
    </row>
    <row r="108" customFormat="false" ht="15" hidden="false" customHeight="false" outlineLevel="0" collapsed="false">
      <c r="A108" s="2" t="n">
        <v>101130401</v>
      </c>
      <c r="B108" s="2" t="s">
        <v>297</v>
      </c>
      <c r="C108" s="3" t="n">
        <v>130800960</v>
      </c>
      <c r="D108" s="3"/>
      <c r="E108" s="3" t="n">
        <f aca="false">D108-C108</f>
        <v>-130800960</v>
      </c>
    </row>
    <row r="109" customFormat="false" ht="15" hidden="false" customHeight="false" outlineLevel="0" collapsed="false">
      <c r="A109" s="2" t="n">
        <v>101130402</v>
      </c>
      <c r="B109" s="2" t="s">
        <v>298</v>
      </c>
      <c r="C109" s="3"/>
      <c r="D109" s="3"/>
      <c r="E109" s="3" t="n">
        <f aca="false">D109-C109</f>
        <v>0</v>
      </c>
    </row>
    <row r="110" customFormat="false" ht="15" hidden="false" customHeight="false" outlineLevel="0" collapsed="false">
      <c r="A110" s="2" t="n">
        <v>101130501</v>
      </c>
      <c r="B110" s="2" t="s">
        <v>299</v>
      </c>
      <c r="C110" s="3" t="n">
        <v>9926685</v>
      </c>
      <c r="D110" s="3"/>
      <c r="E110" s="3" t="n">
        <f aca="false">D110-C110</f>
        <v>-9926685</v>
      </c>
    </row>
    <row r="111" customFormat="false" ht="15" hidden="false" customHeight="false" outlineLevel="0" collapsed="false">
      <c r="A111" s="2" t="n">
        <v>101130601</v>
      </c>
      <c r="B111" s="2" t="s">
        <v>300</v>
      </c>
      <c r="C111" s="3" t="n">
        <v>67522340</v>
      </c>
      <c r="D111" s="3"/>
      <c r="E111" s="3" t="n">
        <f aca="false">D111-C111</f>
        <v>-67522340</v>
      </c>
    </row>
    <row r="112" customFormat="false" ht="15" hidden="false" customHeight="false" outlineLevel="0" collapsed="false">
      <c r="A112" s="2" t="n">
        <v>101130602</v>
      </c>
      <c r="B112" s="2" t="s">
        <v>301</v>
      </c>
      <c r="C112" s="3"/>
      <c r="D112" s="3"/>
      <c r="E112" s="3" t="n">
        <f aca="false">D112-C112</f>
        <v>0</v>
      </c>
    </row>
    <row r="113" customFormat="false" ht="15" hidden="false" customHeight="false" outlineLevel="0" collapsed="false">
      <c r="A113" s="2" t="n">
        <v>101130699</v>
      </c>
      <c r="B113" s="2" t="s">
        <v>302</v>
      </c>
      <c r="C113" s="3" t="n">
        <v>4442100</v>
      </c>
      <c r="D113" s="3"/>
      <c r="E113" s="3" t="n">
        <f aca="false">D113-C113</f>
        <v>-4442100</v>
      </c>
    </row>
    <row r="114" customFormat="false" ht="15" hidden="false" customHeight="false" outlineLevel="0" collapsed="false">
      <c r="A114" s="2" t="n">
        <v>101130701</v>
      </c>
      <c r="B114" s="2" t="s">
        <v>303</v>
      </c>
      <c r="C114" s="3" t="n">
        <v>47979170</v>
      </c>
      <c r="D114" s="3"/>
      <c r="E114" s="3" t="n">
        <f aca="false">D114-C114</f>
        <v>-47979170</v>
      </c>
    </row>
    <row r="115" customFormat="false" ht="15" hidden="false" customHeight="false" outlineLevel="0" collapsed="false">
      <c r="A115" s="2" t="n">
        <v>101130702</v>
      </c>
      <c r="B115" s="2" t="s">
        <v>304</v>
      </c>
      <c r="C115" s="3"/>
      <c r="D115" s="3"/>
      <c r="E115" s="3" t="n">
        <f aca="false">D115-C115</f>
        <v>0</v>
      </c>
    </row>
    <row r="116" customFormat="false" ht="15" hidden="false" customHeight="false" outlineLevel="0" collapsed="false">
      <c r="A116" s="2" t="n">
        <v>101130703</v>
      </c>
      <c r="B116" s="2" t="s">
        <v>207</v>
      </c>
      <c r="C116" s="3"/>
      <c r="D116" s="3"/>
      <c r="E116" s="3" t="n">
        <f aca="false">D116-C116</f>
        <v>0</v>
      </c>
    </row>
    <row r="117" customFormat="false" ht="15" hidden="false" customHeight="false" outlineLevel="0" collapsed="false">
      <c r="A117" s="2" t="n">
        <v>101130801</v>
      </c>
      <c r="B117" s="2" t="s">
        <v>305</v>
      </c>
      <c r="C117" s="3" t="n">
        <v>29850185</v>
      </c>
      <c r="D117" s="3"/>
      <c r="E117" s="3" t="n">
        <f aca="false">D117-C117</f>
        <v>-29850185</v>
      </c>
    </row>
    <row r="118" customFormat="false" ht="15" hidden="false" customHeight="false" outlineLevel="0" collapsed="false">
      <c r="A118" s="2" t="n">
        <v>101130901</v>
      </c>
      <c r="B118" s="2" t="s">
        <v>306</v>
      </c>
      <c r="C118" s="3" t="n">
        <v>145099105</v>
      </c>
      <c r="D118" s="3"/>
      <c r="E118" s="3" t="n">
        <f aca="false">D118-C118</f>
        <v>-145099105</v>
      </c>
    </row>
    <row r="119" customFormat="false" ht="15" hidden="false" customHeight="false" outlineLevel="0" collapsed="false">
      <c r="A119" s="2" t="n">
        <v>101130902</v>
      </c>
      <c r="B119" s="2" t="s">
        <v>307</v>
      </c>
      <c r="C119" s="3"/>
      <c r="D119" s="3"/>
      <c r="E119" s="3" t="n">
        <f aca="false">D119-C119</f>
        <v>0</v>
      </c>
    </row>
    <row r="120" customFormat="false" ht="15" hidden="false" customHeight="false" outlineLevel="0" collapsed="false">
      <c r="A120" s="2" t="n">
        <v>101130903</v>
      </c>
      <c r="B120" s="2" t="s">
        <v>308</v>
      </c>
      <c r="C120" s="3"/>
      <c r="D120" s="3"/>
      <c r="E120" s="3" t="n">
        <f aca="false">D120-C120</f>
        <v>0</v>
      </c>
    </row>
    <row r="121" customFormat="false" ht="15" hidden="false" customHeight="false" outlineLevel="0" collapsed="false">
      <c r="A121" s="2" t="n">
        <v>101130904</v>
      </c>
      <c r="B121" s="2" t="s">
        <v>309</v>
      </c>
      <c r="C121" s="3"/>
      <c r="D121" s="3"/>
      <c r="E121" s="3" t="n">
        <f aca="false">D121-C121</f>
        <v>0</v>
      </c>
    </row>
    <row r="122" customFormat="false" ht="15" hidden="false" customHeight="false" outlineLevel="0" collapsed="false">
      <c r="A122" s="2" t="n">
        <v>101131002</v>
      </c>
      <c r="B122" s="2" t="s">
        <v>310</v>
      </c>
      <c r="C122" s="3"/>
      <c r="D122" s="3"/>
      <c r="E122" s="3" t="n">
        <f aca="false">D122-C122</f>
        <v>0</v>
      </c>
    </row>
    <row r="123" customFormat="false" ht="15" hidden="false" customHeight="false" outlineLevel="0" collapsed="false">
      <c r="A123" s="2" t="n">
        <v>101131025</v>
      </c>
      <c r="B123" s="2" t="s">
        <v>311</v>
      </c>
      <c r="C123" s="3" t="n">
        <v>112661045</v>
      </c>
      <c r="D123" s="3"/>
      <c r="E123" s="3" t="n">
        <f aca="false">D123-C123</f>
        <v>-112661045</v>
      </c>
    </row>
    <row r="124" customFormat="false" ht="15" hidden="false" customHeight="false" outlineLevel="0" collapsed="false">
      <c r="A124" s="2" t="n">
        <v>101131101</v>
      </c>
      <c r="B124" s="2" t="s">
        <v>312</v>
      </c>
      <c r="C124" s="3"/>
      <c r="D124" s="3"/>
      <c r="E124" s="3" t="n">
        <f aca="false">D124-C124</f>
        <v>0</v>
      </c>
    </row>
    <row r="125" customFormat="false" ht="15" hidden="false" customHeight="false" outlineLevel="0" collapsed="false">
      <c r="A125" s="2" t="n">
        <v>101131103</v>
      </c>
      <c r="B125" s="2" t="s">
        <v>313</v>
      </c>
      <c r="C125" s="3"/>
      <c r="D125" s="3"/>
      <c r="E125" s="3" t="n">
        <f aca="false">D125-C125</f>
        <v>0</v>
      </c>
    </row>
    <row r="126" customFormat="false" ht="15" hidden="false" customHeight="false" outlineLevel="0" collapsed="false">
      <c r="A126" s="2" t="n">
        <v>101131201</v>
      </c>
      <c r="B126" s="2" t="s">
        <v>314</v>
      </c>
      <c r="C126" s="3" t="n">
        <v>133193693</v>
      </c>
      <c r="D126" s="3"/>
      <c r="E126" s="3" t="n">
        <f aca="false">D126-C126</f>
        <v>-133193693</v>
      </c>
    </row>
    <row r="127" customFormat="false" ht="15" hidden="false" customHeight="false" outlineLevel="0" collapsed="false">
      <c r="A127" s="2" t="n">
        <v>101131202</v>
      </c>
      <c r="B127" s="2" t="s">
        <v>315</v>
      </c>
      <c r="C127" s="3"/>
      <c r="D127" s="3"/>
      <c r="E127" s="3" t="n">
        <f aca="false">D127-C127</f>
        <v>0</v>
      </c>
    </row>
    <row r="128" customFormat="false" ht="15" hidden="false" customHeight="false" outlineLevel="0" collapsed="false">
      <c r="A128" s="2" t="n">
        <v>101131203</v>
      </c>
      <c r="B128" s="2" t="s">
        <v>316</v>
      </c>
      <c r="C128" s="3"/>
      <c r="D128" s="3"/>
      <c r="E128" s="3" t="n">
        <f aca="false">D128-C128</f>
        <v>0</v>
      </c>
    </row>
    <row r="129" customFormat="false" ht="15" hidden="false" customHeight="false" outlineLevel="0" collapsed="false">
      <c r="A129" s="2" t="n">
        <v>101131301</v>
      </c>
      <c r="B129" s="2" t="s">
        <v>317</v>
      </c>
      <c r="C129" s="3" t="n">
        <v>46924485</v>
      </c>
      <c r="D129" s="3"/>
      <c r="E129" s="3" t="n">
        <f aca="false">D129-C129</f>
        <v>-46924485</v>
      </c>
    </row>
    <row r="130" customFormat="false" ht="15" hidden="false" customHeight="false" outlineLevel="0" collapsed="false">
      <c r="A130" s="2" t="n">
        <v>101131303</v>
      </c>
      <c r="B130" s="2" t="s">
        <v>318</v>
      </c>
      <c r="C130" s="3" t="n">
        <v>54975</v>
      </c>
      <c r="D130" s="3"/>
      <c r="E130" s="3" t="n">
        <f aca="false">D130-C130</f>
        <v>-54975</v>
      </c>
    </row>
    <row r="131" customFormat="false" ht="15" hidden="false" customHeight="false" outlineLevel="0" collapsed="false">
      <c r="A131" s="2" t="n">
        <v>101131304</v>
      </c>
      <c r="B131" s="2" t="s">
        <v>319</v>
      </c>
      <c r="C131" s="3" t="n">
        <v>53451665</v>
      </c>
      <c r="D131" s="3"/>
      <c r="E131" s="3" t="n">
        <f aca="false">D131-C131</f>
        <v>-53451665</v>
      </c>
    </row>
    <row r="132" customFormat="false" ht="15" hidden="false" customHeight="false" outlineLevel="0" collapsed="false">
      <c r="A132" s="2" t="n">
        <v>101131402</v>
      </c>
      <c r="B132" s="2" t="s">
        <v>320</v>
      </c>
      <c r="C132" s="3" t="n">
        <v>4</v>
      </c>
      <c r="D132" s="3"/>
      <c r="E132" s="3" t="n">
        <f aca="false">D132-C132</f>
        <v>-4</v>
      </c>
    </row>
    <row r="133" customFormat="false" ht="15" hidden="false" customHeight="false" outlineLevel="0" collapsed="false">
      <c r="A133" s="2" t="n">
        <v>101131602</v>
      </c>
      <c r="B133" s="2" t="s">
        <v>321</v>
      </c>
      <c r="C133" s="3"/>
      <c r="D133" s="3"/>
      <c r="E133" s="3" t="n">
        <f aca="false">D133-C133</f>
        <v>0</v>
      </c>
    </row>
    <row r="134" customFormat="false" ht="15" hidden="false" customHeight="false" outlineLevel="0" collapsed="false">
      <c r="A134" s="2" t="n">
        <v>101131603</v>
      </c>
      <c r="B134" s="2" t="s">
        <v>322</v>
      </c>
      <c r="C134" s="3"/>
      <c r="D134" s="3"/>
      <c r="E134" s="3" t="n">
        <f aca="false">D134-C134</f>
        <v>0</v>
      </c>
    </row>
    <row r="135" customFormat="false" ht="15" hidden="false" customHeight="false" outlineLevel="0" collapsed="false">
      <c r="A135" s="2" t="n">
        <v>101131901</v>
      </c>
      <c r="B135" s="2" t="s">
        <v>323</v>
      </c>
      <c r="C135" s="3"/>
      <c r="D135" s="3"/>
      <c r="E135" s="3" t="n">
        <f aca="false">D135-C135</f>
        <v>0</v>
      </c>
    </row>
    <row r="136" customFormat="false" ht="15" hidden="false" customHeight="false" outlineLevel="0" collapsed="false">
      <c r="A136" s="2" t="n">
        <v>101141501</v>
      </c>
      <c r="B136" s="2" t="s">
        <v>324</v>
      </c>
      <c r="C136" s="3"/>
      <c r="D136" s="3"/>
      <c r="E136" s="3" t="n">
        <f aca="false">D136-C136</f>
        <v>0</v>
      </c>
    </row>
    <row r="137" customFormat="false" ht="15" hidden="false" customHeight="false" outlineLevel="0" collapsed="false">
      <c r="A137" s="2" t="n">
        <v>111120200</v>
      </c>
      <c r="B137" s="2" t="s">
        <v>325</v>
      </c>
      <c r="C137" s="3"/>
      <c r="D137" s="3"/>
      <c r="E137" s="3" t="n">
        <f aca="false">D137-C137</f>
        <v>0</v>
      </c>
    </row>
    <row r="138" customFormat="false" ht="15" hidden="false" customHeight="false" outlineLevel="0" collapsed="false">
      <c r="A138" s="2" t="n">
        <v>111121010</v>
      </c>
      <c r="B138" s="2" t="s">
        <v>326</v>
      </c>
      <c r="C138" s="3" t="n">
        <v>2617003928</v>
      </c>
      <c r="D138" s="3"/>
      <c r="E138" s="3" t="n">
        <f aca="false">D138-C138</f>
        <v>-2617003928</v>
      </c>
    </row>
    <row r="139" customFormat="false" ht="15" hidden="false" customHeight="false" outlineLevel="0" collapsed="false">
      <c r="A139" s="2" t="n">
        <v>111121020</v>
      </c>
      <c r="B139" s="2" t="s">
        <v>327</v>
      </c>
      <c r="C139" s="3" t="n">
        <v>364123810</v>
      </c>
      <c r="D139" s="3"/>
      <c r="E139" s="3" t="n">
        <f aca="false">D139-C139</f>
        <v>-364123810</v>
      </c>
    </row>
    <row r="140" customFormat="false" ht="15" hidden="false" customHeight="false" outlineLevel="0" collapsed="false">
      <c r="A140" s="2" t="n">
        <v>111121100</v>
      </c>
      <c r="B140" s="2" t="s">
        <v>328</v>
      </c>
      <c r="C140" s="3" t="n">
        <v>1439590086</v>
      </c>
      <c r="D140" s="3"/>
      <c r="E140" s="3" t="n">
        <f aca="false">D140-C140</f>
        <v>-1439590086</v>
      </c>
    </row>
    <row r="141" customFormat="false" ht="15" hidden="false" customHeight="false" outlineLevel="0" collapsed="false">
      <c r="A141" s="2" t="n">
        <v>111121200</v>
      </c>
      <c r="B141" s="2" t="s">
        <v>329</v>
      </c>
      <c r="C141" s="3"/>
      <c r="D141" s="3" t="n">
        <v>119052184</v>
      </c>
      <c r="E141" s="3" t="n">
        <f aca="false">D141-C141</f>
        <v>119052184</v>
      </c>
    </row>
    <row r="142" customFormat="false" ht="15" hidden="false" customHeight="false" outlineLevel="0" collapsed="false">
      <c r="A142" s="2" t="n">
        <v>111121300</v>
      </c>
      <c r="B142" s="2" t="s">
        <v>330</v>
      </c>
      <c r="C142" s="3" t="n">
        <v>56205573</v>
      </c>
      <c r="D142" s="3"/>
      <c r="E142" s="3" t="n">
        <f aca="false">D142-C142</f>
        <v>-56205573</v>
      </c>
    </row>
    <row r="143" customFormat="false" ht="15" hidden="false" customHeight="false" outlineLevel="0" collapsed="false">
      <c r="A143" s="2" t="n">
        <v>111121400</v>
      </c>
      <c r="B143" s="2" t="s">
        <v>331</v>
      </c>
      <c r="C143" s="3"/>
      <c r="D143" s="3" t="n">
        <v>96211912</v>
      </c>
      <c r="E143" s="3" t="n">
        <f aca="false">D143-C143</f>
        <v>96211912</v>
      </c>
    </row>
    <row r="144" customFormat="false" ht="15" hidden="false" customHeight="false" outlineLevel="0" collapsed="false">
      <c r="A144" s="2" t="n">
        <v>111121500</v>
      </c>
      <c r="B144" s="2" t="s">
        <v>332</v>
      </c>
      <c r="C144" s="3"/>
      <c r="D144" s="3" t="n">
        <v>424987954</v>
      </c>
      <c r="E144" s="3" t="n">
        <f aca="false">D144-C144</f>
        <v>424987954</v>
      </c>
    </row>
    <row r="145" customFormat="false" ht="15" hidden="false" customHeight="false" outlineLevel="0" collapsed="false">
      <c r="A145" s="2" t="n">
        <v>111121600</v>
      </c>
      <c r="B145" s="2" t="s">
        <v>333</v>
      </c>
      <c r="C145" s="3"/>
      <c r="D145" s="3" t="n">
        <v>434795685</v>
      </c>
      <c r="E145" s="3" t="n">
        <f aca="false">D145-C145</f>
        <v>434795685</v>
      </c>
    </row>
    <row r="146" customFormat="false" ht="15" hidden="false" customHeight="false" outlineLevel="0" collapsed="false">
      <c r="A146" s="2" t="n">
        <v>111121700</v>
      </c>
      <c r="B146" s="2" t="s">
        <v>334</v>
      </c>
      <c r="C146" s="3" t="n">
        <v>142918443</v>
      </c>
      <c r="D146" s="3"/>
      <c r="E146" s="3" t="n">
        <f aca="false">D146-C146</f>
        <v>-142918443</v>
      </c>
    </row>
    <row r="147" customFormat="false" ht="15" hidden="false" customHeight="false" outlineLevel="0" collapsed="false">
      <c r="A147" s="2" t="n">
        <v>111121800</v>
      </c>
      <c r="B147" s="2" t="s">
        <v>335</v>
      </c>
      <c r="C147" s="3"/>
      <c r="D147" s="3" t="n">
        <v>431301185</v>
      </c>
      <c r="E147" s="3" t="n">
        <f aca="false">D147-C147</f>
        <v>431301185</v>
      </c>
    </row>
    <row r="148" customFormat="false" ht="15" hidden="false" customHeight="false" outlineLevel="0" collapsed="false">
      <c r="A148" s="2" t="n">
        <v>111121900</v>
      </c>
      <c r="B148" s="2" t="s">
        <v>336</v>
      </c>
      <c r="C148" s="3" t="n">
        <v>532797451</v>
      </c>
      <c r="D148" s="3"/>
      <c r="E148" s="3" t="n">
        <f aca="false">D148-C148</f>
        <v>-532797451</v>
      </c>
    </row>
    <row r="149" customFormat="false" ht="15" hidden="false" customHeight="false" outlineLevel="0" collapsed="false">
      <c r="A149" s="2" t="n">
        <v>113102001</v>
      </c>
      <c r="B149" s="2" t="s">
        <v>337</v>
      </c>
      <c r="C149" s="3"/>
      <c r="D149" s="3"/>
      <c r="E149" s="3" t="n">
        <f aca="false">D149-C149</f>
        <v>0</v>
      </c>
    </row>
    <row r="150" customFormat="false" ht="15" hidden="false" customHeight="false" outlineLevel="0" collapsed="false">
      <c r="A150" s="2" t="n">
        <v>113102002</v>
      </c>
      <c r="B150" s="2" t="s">
        <v>338</v>
      </c>
      <c r="C150" s="3"/>
      <c r="D150" s="3"/>
      <c r="E150" s="3" t="n">
        <f aca="false">D150-C150</f>
        <v>0</v>
      </c>
    </row>
    <row r="151" customFormat="false" ht="15" hidden="false" customHeight="false" outlineLevel="0" collapsed="false">
      <c r="A151" s="2" t="n">
        <v>113102003</v>
      </c>
      <c r="B151" s="2" t="s">
        <v>339</v>
      </c>
      <c r="C151" s="3"/>
      <c r="D151" s="3"/>
      <c r="E151" s="3" t="n">
        <f aca="false">D151-C151</f>
        <v>0</v>
      </c>
    </row>
    <row r="152" customFormat="false" ht="15" hidden="false" customHeight="false" outlineLevel="0" collapsed="false">
      <c r="A152" s="2" t="n">
        <v>113102004</v>
      </c>
      <c r="B152" s="2" t="s">
        <v>340</v>
      </c>
      <c r="C152" s="3"/>
      <c r="D152" s="3"/>
      <c r="E152" s="3" t="n">
        <f aca="false">D152-C152</f>
        <v>0</v>
      </c>
    </row>
    <row r="153" customFormat="false" ht="15" hidden="false" customHeight="false" outlineLevel="0" collapsed="false">
      <c r="A153" s="2" t="n">
        <v>113102205</v>
      </c>
      <c r="B153" s="2" t="s">
        <v>341</v>
      </c>
      <c r="C153" s="3"/>
      <c r="D153" s="3"/>
      <c r="E153" s="3" t="n">
        <f aca="false">D153-C153</f>
        <v>0</v>
      </c>
    </row>
    <row r="154" customFormat="false" ht="15" hidden="false" customHeight="false" outlineLevel="0" collapsed="false">
      <c r="A154" s="2" t="n">
        <v>113104003</v>
      </c>
      <c r="B154" s="2" t="s">
        <v>342</v>
      </c>
      <c r="C154" s="3"/>
      <c r="D154" s="3"/>
      <c r="E154" s="3" t="n">
        <f aca="false">D154-C154</f>
        <v>0</v>
      </c>
    </row>
    <row r="155" customFormat="false" ht="15" hidden="false" customHeight="false" outlineLevel="0" collapsed="false">
      <c r="A155" s="2" t="n">
        <v>113106004</v>
      </c>
      <c r="B155" s="2" t="s">
        <v>343</v>
      </c>
      <c r="C155" s="3"/>
      <c r="D155" s="3"/>
      <c r="E155" s="3" t="n">
        <f aca="false">D155-C155</f>
        <v>0</v>
      </c>
    </row>
    <row r="156" customFormat="false" ht="15" hidden="false" customHeight="false" outlineLevel="0" collapsed="false">
      <c r="A156" s="2" t="n">
        <v>113108005</v>
      </c>
      <c r="B156" s="2" t="s">
        <v>344</v>
      </c>
      <c r="C156" s="3"/>
      <c r="D156" s="3"/>
      <c r="E156" s="3" t="n">
        <f aca="false">D156-C156</f>
        <v>0</v>
      </c>
    </row>
    <row r="157" customFormat="false" ht="15" hidden="false" customHeight="false" outlineLevel="0" collapsed="false">
      <c r="A157" s="2" t="n">
        <v>113109003</v>
      </c>
      <c r="B157" s="2" t="s">
        <v>345</v>
      </c>
      <c r="C157" s="3"/>
      <c r="D157" s="3"/>
      <c r="E157" s="3" t="n">
        <f aca="false">D157-C157</f>
        <v>0</v>
      </c>
    </row>
    <row r="158" customFormat="false" ht="15" hidden="false" customHeight="false" outlineLevel="0" collapsed="false">
      <c r="A158" s="2" t="n">
        <v>114101101</v>
      </c>
      <c r="B158" s="2" t="s">
        <v>346</v>
      </c>
      <c r="C158" s="3"/>
      <c r="D158" s="3"/>
      <c r="E158" s="3" t="n">
        <f aca="false">D158-C158</f>
        <v>0</v>
      </c>
    </row>
    <row r="159" customFormat="false" ht="15" hidden="false" customHeight="false" outlineLevel="0" collapsed="false">
      <c r="A159" s="2" t="n">
        <v>114101102</v>
      </c>
      <c r="B159" s="2" t="s">
        <v>347</v>
      </c>
      <c r="C159" s="3"/>
      <c r="D159" s="3" t="n">
        <v>924734</v>
      </c>
      <c r="E159" s="3" t="n">
        <f aca="false">D159-C159</f>
        <v>924734</v>
      </c>
    </row>
    <row r="160" customFormat="false" ht="15" hidden="false" customHeight="false" outlineLevel="0" collapsed="false">
      <c r="A160" s="2" t="n">
        <v>114101103</v>
      </c>
      <c r="B160" s="2" t="s">
        <v>348</v>
      </c>
      <c r="C160" s="3" t="n">
        <v>125247829</v>
      </c>
      <c r="D160" s="3"/>
      <c r="E160" s="3" t="n">
        <f aca="false">D160-C160</f>
        <v>-125247829</v>
      </c>
    </row>
    <row r="161" customFormat="false" ht="15" hidden="false" customHeight="false" outlineLevel="0" collapsed="false">
      <c r="A161" s="2" t="n">
        <v>114101301</v>
      </c>
      <c r="B161" s="2" t="s">
        <v>349</v>
      </c>
      <c r="C161" s="3" t="n">
        <v>10246065</v>
      </c>
      <c r="D161" s="3"/>
      <c r="E161" s="3" t="n">
        <f aca="false">D161-C161</f>
        <v>-10246065</v>
      </c>
    </row>
    <row r="162" customFormat="false" ht="15" hidden="false" customHeight="false" outlineLevel="0" collapsed="false">
      <c r="A162" s="2" t="n">
        <v>114101302</v>
      </c>
      <c r="B162" s="2" t="s">
        <v>350</v>
      </c>
      <c r="C162" s="3"/>
      <c r="D162" s="3"/>
      <c r="E162" s="3" t="n">
        <f aca="false">D162-C162</f>
        <v>0</v>
      </c>
    </row>
    <row r="163" customFormat="false" ht="15" hidden="false" customHeight="false" outlineLevel="0" collapsed="false">
      <c r="A163" s="2" t="n">
        <v>114101303</v>
      </c>
      <c r="B163" s="2" t="s">
        <v>351</v>
      </c>
      <c r="C163" s="3" t="n">
        <v>2</v>
      </c>
      <c r="D163" s="3"/>
      <c r="E163" s="3" t="n">
        <f aca="false">D163-C163</f>
        <v>-2</v>
      </c>
    </row>
    <row r="164" customFormat="false" ht="15" hidden="false" customHeight="false" outlineLevel="0" collapsed="false">
      <c r="A164" s="2" t="n">
        <v>114101401</v>
      </c>
      <c r="B164" s="2" t="s">
        <v>352</v>
      </c>
      <c r="C164" s="3" t="n">
        <v>166037316</v>
      </c>
      <c r="D164" s="3"/>
      <c r="E164" s="3" t="n">
        <f aca="false">D164-C164</f>
        <v>-166037316</v>
      </c>
    </row>
    <row r="165" customFormat="false" ht="15" hidden="false" customHeight="false" outlineLevel="0" collapsed="false">
      <c r="A165" s="2" t="n">
        <v>114101403</v>
      </c>
      <c r="B165" s="2" t="s">
        <v>353</v>
      </c>
      <c r="C165" s="3"/>
      <c r="D165" s="3" t="n">
        <v>4560764</v>
      </c>
      <c r="E165" s="3" t="n">
        <f aca="false">D165-C165</f>
        <v>4560764</v>
      </c>
    </row>
    <row r="166" customFormat="false" ht="15" hidden="false" customHeight="false" outlineLevel="0" collapsed="false">
      <c r="A166" s="2" t="n">
        <v>114101404</v>
      </c>
      <c r="B166" s="2" t="s">
        <v>354</v>
      </c>
      <c r="C166" s="3"/>
      <c r="D166" s="3"/>
      <c r="E166" s="3" t="n">
        <f aca="false">D166-C166</f>
        <v>0</v>
      </c>
    </row>
    <row r="167" customFormat="false" ht="15" hidden="false" customHeight="false" outlineLevel="0" collapsed="false">
      <c r="A167" s="2" t="n">
        <v>114101405</v>
      </c>
      <c r="B167" s="2" t="s">
        <v>355</v>
      </c>
      <c r="C167" s="3" t="n">
        <v>9020386</v>
      </c>
      <c r="D167" s="3"/>
      <c r="E167" s="3" t="n">
        <f aca="false">D167-C167</f>
        <v>-9020386</v>
      </c>
    </row>
    <row r="168" customFormat="false" ht="15" hidden="false" customHeight="false" outlineLevel="0" collapsed="false">
      <c r="A168" s="2" t="n">
        <v>114101406</v>
      </c>
      <c r="B168" s="2" t="s">
        <v>356</v>
      </c>
      <c r="C168" s="3" t="n">
        <v>1278093</v>
      </c>
      <c r="D168" s="3"/>
      <c r="E168" s="3" t="n">
        <f aca="false">D168-C168</f>
        <v>-1278093</v>
      </c>
    </row>
    <row r="169" customFormat="false" ht="15" hidden="false" customHeight="false" outlineLevel="0" collapsed="false">
      <c r="A169" s="2" t="n">
        <v>114101407</v>
      </c>
      <c r="B169" s="2" t="s">
        <v>357</v>
      </c>
      <c r="C169" s="3" t="n">
        <v>17455143</v>
      </c>
      <c r="D169" s="3"/>
      <c r="E169" s="3" t="n">
        <f aca="false">D169-C169</f>
        <v>-17455143</v>
      </c>
    </row>
    <row r="170" customFormat="false" ht="15" hidden="false" customHeight="false" outlineLevel="0" collapsed="false">
      <c r="A170" s="2" t="n">
        <v>114101501</v>
      </c>
      <c r="B170" s="2" t="s">
        <v>358</v>
      </c>
      <c r="C170" s="3" t="n">
        <v>10241882</v>
      </c>
      <c r="D170" s="3"/>
      <c r="E170" s="3" t="n">
        <f aca="false">D170-C170</f>
        <v>-10241882</v>
      </c>
    </row>
    <row r="171" customFormat="false" ht="15" hidden="false" customHeight="false" outlineLevel="0" collapsed="false">
      <c r="A171" s="2" t="n">
        <v>114101502</v>
      </c>
      <c r="B171" s="2" t="s">
        <v>359</v>
      </c>
      <c r="C171" s="3"/>
      <c r="D171" s="3"/>
      <c r="E171" s="3" t="n">
        <f aca="false">D171-C171</f>
        <v>0</v>
      </c>
    </row>
    <row r="172" customFormat="false" ht="15" hidden="false" customHeight="false" outlineLevel="0" collapsed="false">
      <c r="A172" s="2" t="n">
        <v>114101503</v>
      </c>
      <c r="B172" s="2" t="s">
        <v>360</v>
      </c>
      <c r="C172" s="3"/>
      <c r="D172" s="3"/>
      <c r="E172" s="3" t="n">
        <f aca="false">D172-C172</f>
        <v>0</v>
      </c>
    </row>
    <row r="173" customFormat="false" ht="15" hidden="false" customHeight="false" outlineLevel="0" collapsed="false">
      <c r="A173" s="2" t="n">
        <v>114101504</v>
      </c>
      <c r="B173" s="2" t="s">
        <v>361</v>
      </c>
      <c r="C173" s="3"/>
      <c r="D173" s="3"/>
      <c r="E173" s="3" t="n">
        <f aca="false">D173-C173</f>
        <v>0</v>
      </c>
    </row>
    <row r="174" customFormat="false" ht="15" hidden="false" customHeight="false" outlineLevel="0" collapsed="false">
      <c r="A174" s="2" t="n">
        <v>114101505</v>
      </c>
      <c r="B174" s="2" t="s">
        <v>362</v>
      </c>
      <c r="C174" s="3"/>
      <c r="D174" s="3"/>
      <c r="E174" s="3" t="n">
        <f aca="false">D174-C174</f>
        <v>0</v>
      </c>
    </row>
    <row r="175" customFormat="false" ht="15" hidden="false" customHeight="false" outlineLevel="0" collapsed="false">
      <c r="A175" s="2" t="n">
        <v>114101506</v>
      </c>
      <c r="B175" s="2" t="s">
        <v>363</v>
      </c>
      <c r="C175" s="3"/>
      <c r="D175" s="3"/>
      <c r="E175" s="3" t="n">
        <f aca="false">D175-C175</f>
        <v>0</v>
      </c>
    </row>
    <row r="176" customFormat="false" ht="15" hidden="false" customHeight="false" outlineLevel="0" collapsed="false">
      <c r="A176" s="2" t="n">
        <v>114101507</v>
      </c>
      <c r="B176" s="2" t="s">
        <v>364</v>
      </c>
      <c r="C176" s="3"/>
      <c r="D176" s="3"/>
      <c r="E176" s="3" t="n">
        <f aca="false">D176-C176</f>
        <v>0</v>
      </c>
    </row>
    <row r="177" customFormat="false" ht="15" hidden="false" customHeight="false" outlineLevel="0" collapsed="false">
      <c r="A177" s="2" t="n">
        <v>114101508</v>
      </c>
      <c r="B177" s="2" t="s">
        <v>365</v>
      </c>
      <c r="C177" s="3"/>
      <c r="D177" s="3"/>
      <c r="E177" s="3" t="n">
        <f aca="false">D177-C177</f>
        <v>0</v>
      </c>
    </row>
    <row r="178" customFormat="false" ht="15" hidden="false" customHeight="false" outlineLevel="0" collapsed="false">
      <c r="A178" s="2" t="n">
        <v>114101601</v>
      </c>
      <c r="B178" s="2" t="s">
        <v>366</v>
      </c>
      <c r="C178" s="3" t="n">
        <v>20984819</v>
      </c>
      <c r="D178" s="3"/>
      <c r="E178" s="3" t="n">
        <f aca="false">D178-C178</f>
        <v>-20984819</v>
      </c>
    </row>
    <row r="179" customFormat="false" ht="15" hidden="false" customHeight="false" outlineLevel="0" collapsed="false">
      <c r="A179" s="2" t="n">
        <v>114101701</v>
      </c>
      <c r="B179" s="2" t="s">
        <v>367</v>
      </c>
      <c r="C179" s="3"/>
      <c r="D179" s="3"/>
      <c r="E179" s="3" t="n">
        <f aca="false">D179-C179</f>
        <v>0</v>
      </c>
    </row>
    <row r="180" customFormat="false" ht="15" hidden="false" customHeight="false" outlineLevel="0" collapsed="false">
      <c r="A180" s="2" t="n">
        <v>114101702</v>
      </c>
      <c r="B180" s="2" t="s">
        <v>368</v>
      </c>
      <c r="C180" s="3"/>
      <c r="D180" s="3"/>
      <c r="E180" s="3" t="n">
        <f aca="false">D180-C180</f>
        <v>0</v>
      </c>
    </row>
    <row r="181" customFormat="false" ht="15" hidden="false" customHeight="false" outlineLevel="0" collapsed="false">
      <c r="A181" s="2" t="n">
        <v>114101703</v>
      </c>
      <c r="B181" s="2" t="s">
        <v>369</v>
      </c>
      <c r="C181" s="3"/>
      <c r="D181" s="3" t="n">
        <v>24</v>
      </c>
      <c r="E181" s="3" t="n">
        <f aca="false">D181-C181</f>
        <v>24</v>
      </c>
    </row>
    <row r="182" customFormat="false" ht="15" hidden="false" customHeight="false" outlineLevel="0" collapsed="false">
      <c r="A182" s="2" t="n">
        <v>114101704</v>
      </c>
      <c r="B182" s="2" t="s">
        <v>370</v>
      </c>
      <c r="C182" s="3"/>
      <c r="D182" s="3"/>
      <c r="E182" s="3" t="n">
        <f aca="false">D182-C182</f>
        <v>0</v>
      </c>
    </row>
    <row r="183" customFormat="false" ht="15" hidden="false" customHeight="false" outlineLevel="0" collapsed="false">
      <c r="A183" s="2" t="n">
        <v>114101705</v>
      </c>
      <c r="B183" s="2" t="s">
        <v>371</v>
      </c>
      <c r="C183" s="3"/>
      <c r="D183" s="3"/>
      <c r="E183" s="3" t="n">
        <f aca="false">D183-C183</f>
        <v>0</v>
      </c>
    </row>
    <row r="184" customFormat="false" ht="15" hidden="false" customHeight="false" outlineLevel="0" collapsed="false">
      <c r="A184" s="2" t="n">
        <v>114101801</v>
      </c>
      <c r="B184" s="2" t="s">
        <v>372</v>
      </c>
      <c r="C184" s="3"/>
      <c r="D184" s="3" t="n">
        <v>33543196</v>
      </c>
      <c r="E184" s="3" t="n">
        <f aca="false">D184-C184</f>
        <v>33543196</v>
      </c>
    </row>
    <row r="185" customFormat="false" ht="15" hidden="false" customHeight="false" outlineLevel="0" collapsed="false">
      <c r="A185" s="2" t="n">
        <v>114101802</v>
      </c>
      <c r="B185" s="2" t="s">
        <v>373</v>
      </c>
      <c r="C185" s="3" t="n">
        <v>6150984</v>
      </c>
      <c r="D185" s="3"/>
      <c r="E185" s="3" t="n">
        <f aca="false">D185-C185</f>
        <v>-6150984</v>
      </c>
    </row>
    <row r="186" customFormat="false" ht="15" hidden="false" customHeight="false" outlineLevel="0" collapsed="false">
      <c r="A186" s="2" t="n">
        <v>114101803</v>
      </c>
      <c r="B186" s="2" t="s">
        <v>374</v>
      </c>
      <c r="C186" s="3" t="n">
        <v>25699847</v>
      </c>
      <c r="D186" s="3"/>
      <c r="E186" s="3" t="n">
        <f aca="false">D186-C186</f>
        <v>-25699847</v>
      </c>
    </row>
    <row r="187" customFormat="false" ht="15" hidden="false" customHeight="false" outlineLevel="0" collapsed="false">
      <c r="A187" s="2" t="n">
        <v>114101804</v>
      </c>
      <c r="B187" s="2" t="s">
        <v>375</v>
      </c>
      <c r="C187" s="3" t="n">
        <v>425668</v>
      </c>
      <c r="D187" s="3"/>
      <c r="E187" s="3" t="n">
        <f aca="false">D187-C187</f>
        <v>-425668</v>
      </c>
    </row>
    <row r="188" customFormat="false" ht="15" hidden="false" customHeight="false" outlineLevel="0" collapsed="false">
      <c r="A188" s="2" t="n">
        <v>114101805</v>
      </c>
      <c r="B188" s="2" t="s">
        <v>376</v>
      </c>
      <c r="C188" s="3" t="n">
        <v>1524245</v>
      </c>
      <c r="D188" s="3"/>
      <c r="E188" s="3" t="n">
        <f aca="false">D188-C188</f>
        <v>-1524245</v>
      </c>
    </row>
    <row r="189" customFormat="false" ht="15" hidden="false" customHeight="false" outlineLevel="0" collapsed="false">
      <c r="A189" s="2" t="n">
        <v>114101806</v>
      </c>
      <c r="B189" s="2" t="s">
        <v>377</v>
      </c>
      <c r="C189" s="3" t="n">
        <v>1511309</v>
      </c>
      <c r="D189" s="3"/>
      <c r="E189" s="3" t="n">
        <f aca="false">D189-C189</f>
        <v>-1511309</v>
      </c>
    </row>
    <row r="190" customFormat="false" ht="15" hidden="false" customHeight="false" outlineLevel="0" collapsed="false">
      <c r="A190" s="2" t="n">
        <v>114101807</v>
      </c>
      <c r="B190" s="2" t="s">
        <v>378</v>
      </c>
      <c r="C190" s="3" t="n">
        <v>2748857</v>
      </c>
      <c r="D190" s="3"/>
      <c r="E190" s="3" t="n">
        <f aca="false">D190-C190</f>
        <v>-2748857</v>
      </c>
    </row>
    <row r="191" customFormat="false" ht="15" hidden="false" customHeight="false" outlineLevel="0" collapsed="false">
      <c r="A191" s="2" t="n">
        <v>114101808</v>
      </c>
      <c r="B191" s="2" t="s">
        <v>379</v>
      </c>
      <c r="C191" s="3" t="n">
        <v>69982931</v>
      </c>
      <c r="D191" s="3"/>
      <c r="E191" s="3" t="n">
        <f aca="false">D191-C191</f>
        <v>-69982931</v>
      </c>
    </row>
    <row r="192" customFormat="false" ht="15" hidden="false" customHeight="false" outlineLevel="0" collapsed="false">
      <c r="A192" s="2" t="n">
        <v>114101809</v>
      </c>
      <c r="B192" s="2" t="s">
        <v>380</v>
      </c>
      <c r="C192" s="3"/>
      <c r="D192" s="3"/>
      <c r="E192" s="3" t="n">
        <f aca="false">D192-C192</f>
        <v>0</v>
      </c>
    </row>
    <row r="193" customFormat="false" ht="15" hidden="false" customHeight="false" outlineLevel="0" collapsed="false">
      <c r="A193" s="2" t="n">
        <v>114101810</v>
      </c>
      <c r="B193" s="2" t="s">
        <v>381</v>
      </c>
      <c r="C193" s="3"/>
      <c r="D193" s="3" t="n">
        <v>265477527</v>
      </c>
      <c r="E193" s="3" t="n">
        <f aca="false">D193-C193</f>
        <v>265477527</v>
      </c>
    </row>
    <row r="194" customFormat="false" ht="15" hidden="false" customHeight="false" outlineLevel="0" collapsed="false">
      <c r="A194" s="2" t="n">
        <v>114101811</v>
      </c>
      <c r="B194" s="2" t="s">
        <v>382</v>
      </c>
      <c r="C194" s="3" t="n">
        <v>66813803</v>
      </c>
      <c r="D194" s="3"/>
      <c r="E194" s="3" t="n">
        <f aca="false">D194-C194</f>
        <v>-66813803</v>
      </c>
    </row>
    <row r="195" customFormat="false" ht="15" hidden="false" customHeight="false" outlineLevel="0" collapsed="false">
      <c r="A195" s="2" t="n">
        <v>114101812</v>
      </c>
      <c r="B195" s="2" t="s">
        <v>383</v>
      </c>
      <c r="C195" s="3"/>
      <c r="D195" s="3"/>
      <c r="E195" s="3" t="n">
        <f aca="false">D195-C195</f>
        <v>0</v>
      </c>
    </row>
    <row r="196" customFormat="false" ht="15" hidden="false" customHeight="false" outlineLevel="0" collapsed="false">
      <c r="A196" s="2" t="n">
        <v>114101813</v>
      </c>
      <c r="B196" s="2" t="s">
        <v>384</v>
      </c>
      <c r="C196" s="3" t="n">
        <v>35702</v>
      </c>
      <c r="D196" s="3"/>
      <c r="E196" s="3" t="n">
        <f aca="false">D196-C196</f>
        <v>-35702</v>
      </c>
    </row>
    <row r="197" customFormat="false" ht="15" hidden="false" customHeight="false" outlineLevel="0" collapsed="false">
      <c r="A197" s="2" t="n">
        <v>114101901</v>
      </c>
      <c r="B197" s="2" t="s">
        <v>385</v>
      </c>
      <c r="C197" s="3" t="n">
        <v>69123071</v>
      </c>
      <c r="D197" s="3"/>
      <c r="E197" s="3" t="n">
        <f aca="false">D197-C197</f>
        <v>-69123071</v>
      </c>
    </row>
    <row r="198" customFormat="false" ht="15" hidden="false" customHeight="false" outlineLevel="0" collapsed="false">
      <c r="A198" s="2" t="n">
        <v>114102104</v>
      </c>
      <c r="B198" s="2" t="s">
        <v>386</v>
      </c>
      <c r="C198" s="3"/>
      <c r="D198" s="3"/>
      <c r="E198" s="3" t="n">
        <f aca="false">D198-C198</f>
        <v>0</v>
      </c>
    </row>
    <row r="199" customFormat="false" ht="15" hidden="false" customHeight="false" outlineLevel="0" collapsed="false">
      <c r="A199" s="2" t="n">
        <v>114102202</v>
      </c>
      <c r="B199" s="2" t="s">
        <v>387</v>
      </c>
      <c r="C199" s="3"/>
      <c r="D199" s="3"/>
      <c r="E199" s="3" t="n">
        <f aca="false">D199-C199</f>
        <v>0</v>
      </c>
    </row>
    <row r="200" customFormat="false" ht="15" hidden="false" customHeight="false" outlineLevel="0" collapsed="false">
      <c r="A200" s="2" t="n">
        <v>114102304</v>
      </c>
      <c r="B200" s="2" t="s">
        <v>388</v>
      </c>
      <c r="C200" s="3" t="n">
        <v>12323965</v>
      </c>
      <c r="D200" s="3"/>
      <c r="E200" s="3" t="n">
        <f aca="false">D200-C200</f>
        <v>-12323965</v>
      </c>
    </row>
    <row r="201" customFormat="false" ht="15" hidden="false" customHeight="false" outlineLevel="0" collapsed="false">
      <c r="A201" s="2" t="n">
        <v>114102305</v>
      </c>
      <c r="B201" s="2" t="s">
        <v>389</v>
      </c>
      <c r="C201" s="3" t="n">
        <v>2138548</v>
      </c>
      <c r="D201" s="3"/>
      <c r="E201" s="3" t="n">
        <f aca="false">D201-C201</f>
        <v>-2138548</v>
      </c>
    </row>
    <row r="202" customFormat="false" ht="15" hidden="false" customHeight="false" outlineLevel="0" collapsed="false">
      <c r="A202" s="2" t="n">
        <v>114102801</v>
      </c>
      <c r="B202" s="2" t="s">
        <v>390</v>
      </c>
      <c r="C202" s="3"/>
      <c r="D202" s="3"/>
      <c r="E202" s="3" t="n">
        <f aca="false">D202-C202</f>
        <v>0</v>
      </c>
    </row>
    <row r="203" customFormat="false" ht="15" hidden="false" customHeight="false" outlineLevel="0" collapsed="false">
      <c r="A203" s="2" t="n">
        <v>114103105</v>
      </c>
      <c r="B203" s="2" t="s">
        <v>391</v>
      </c>
      <c r="C203" s="3" t="n">
        <v>349196</v>
      </c>
      <c r="D203" s="3"/>
      <c r="E203" s="3" t="n">
        <f aca="false">D203-C203</f>
        <v>-349196</v>
      </c>
    </row>
    <row r="204" customFormat="false" ht="15" hidden="false" customHeight="false" outlineLevel="0" collapsed="false">
      <c r="A204" s="2" t="n">
        <v>114103203</v>
      </c>
      <c r="B204" s="2" t="s">
        <v>392</v>
      </c>
      <c r="C204" s="3" t="n">
        <v>87186902</v>
      </c>
      <c r="D204" s="3"/>
      <c r="E204" s="3" t="n">
        <f aca="false">D204-C204</f>
        <v>-87186902</v>
      </c>
    </row>
    <row r="205" customFormat="false" ht="15" hidden="false" customHeight="false" outlineLevel="0" collapsed="false">
      <c r="A205" s="2" t="n">
        <v>114104106</v>
      </c>
      <c r="B205" s="2" t="s">
        <v>393</v>
      </c>
      <c r="C205" s="3"/>
      <c r="D205" s="3"/>
      <c r="E205" s="3" t="n">
        <f aca="false">D205-C205</f>
        <v>0</v>
      </c>
    </row>
    <row r="206" customFormat="false" ht="15" hidden="false" customHeight="false" outlineLevel="0" collapsed="false">
      <c r="A206" s="2" t="n">
        <v>114104203</v>
      </c>
      <c r="B206" s="2" t="s">
        <v>394</v>
      </c>
      <c r="C206" s="3" t="n">
        <v>22353619</v>
      </c>
      <c r="D206" s="3"/>
      <c r="E206" s="3" t="n">
        <f aca="false">D206-C206</f>
        <v>-22353619</v>
      </c>
    </row>
    <row r="207" customFormat="false" ht="15" hidden="false" customHeight="false" outlineLevel="0" collapsed="false">
      <c r="A207" s="2" t="n">
        <v>114104305</v>
      </c>
      <c r="B207" s="2" t="s">
        <v>395</v>
      </c>
      <c r="C207" s="3" t="n">
        <v>11933100</v>
      </c>
      <c r="D207" s="3"/>
      <c r="E207" s="3" t="n">
        <f aca="false">D207-C207</f>
        <v>-11933100</v>
      </c>
    </row>
    <row r="208" customFormat="false" ht="15" hidden="false" customHeight="false" outlineLevel="0" collapsed="false">
      <c r="A208" s="2" t="n">
        <v>114105101</v>
      </c>
      <c r="B208" s="2" t="s">
        <v>396</v>
      </c>
      <c r="C208" s="3" t="n">
        <v>81899</v>
      </c>
      <c r="D208" s="3"/>
      <c r="E208" s="3" t="n">
        <f aca="false">D208-C208</f>
        <v>-81899</v>
      </c>
    </row>
    <row r="209" customFormat="false" ht="15" hidden="false" customHeight="false" outlineLevel="0" collapsed="false">
      <c r="A209" s="2" t="n">
        <v>114105201</v>
      </c>
      <c r="B209" s="2" t="s">
        <v>397</v>
      </c>
      <c r="C209" s="3" t="n">
        <v>11512904</v>
      </c>
      <c r="D209" s="3"/>
      <c r="E209" s="3" t="n">
        <f aca="false">D209-C209</f>
        <v>-11512904</v>
      </c>
    </row>
    <row r="210" customFormat="false" ht="15" hidden="false" customHeight="false" outlineLevel="0" collapsed="false">
      <c r="A210" s="2" t="n">
        <v>114105306</v>
      </c>
      <c r="B210" s="2" t="s">
        <v>398</v>
      </c>
      <c r="C210" s="3" t="n">
        <v>32662381</v>
      </c>
      <c r="D210" s="3"/>
      <c r="E210" s="3" t="n">
        <f aca="false">D210-C210</f>
        <v>-32662381</v>
      </c>
    </row>
    <row r="211" customFormat="false" ht="15" hidden="false" customHeight="false" outlineLevel="0" collapsed="false">
      <c r="A211" s="2" t="n">
        <v>114105307</v>
      </c>
      <c r="B211" s="2" t="s">
        <v>399</v>
      </c>
      <c r="C211" s="3"/>
      <c r="D211" s="3"/>
      <c r="E211" s="3" t="n">
        <f aca="false">D211-C211</f>
        <v>0</v>
      </c>
    </row>
    <row r="212" customFormat="false" ht="15" hidden="false" customHeight="false" outlineLevel="0" collapsed="false">
      <c r="A212" s="2" t="n">
        <v>114105308</v>
      </c>
      <c r="B212" s="2" t="s">
        <v>400</v>
      </c>
      <c r="C212" s="3"/>
      <c r="D212" s="3" t="n">
        <v>450000</v>
      </c>
      <c r="E212" s="3" t="n">
        <f aca="false">D212-C212</f>
        <v>450000</v>
      </c>
    </row>
    <row r="213" customFormat="false" ht="15" hidden="false" customHeight="false" outlineLevel="0" collapsed="false">
      <c r="A213" s="2" t="n">
        <v>114105601</v>
      </c>
      <c r="B213" s="2" t="s">
        <v>401</v>
      </c>
      <c r="C213" s="3"/>
      <c r="D213" s="3"/>
      <c r="E213" s="3" t="n">
        <f aca="false">D213-C213</f>
        <v>0</v>
      </c>
    </row>
    <row r="214" customFormat="false" ht="15" hidden="false" customHeight="false" outlineLevel="0" collapsed="false">
      <c r="A214" s="2" t="n">
        <v>114106101</v>
      </c>
      <c r="B214" s="2" t="s">
        <v>402</v>
      </c>
      <c r="C214" s="3"/>
      <c r="D214" s="3"/>
      <c r="E214" s="3" t="n">
        <f aca="false">D214-C214</f>
        <v>0</v>
      </c>
    </row>
    <row r="215" customFormat="false" ht="15" hidden="false" customHeight="false" outlineLevel="0" collapsed="false">
      <c r="A215" s="2" t="n">
        <v>114106204</v>
      </c>
      <c r="B215" s="2" t="s">
        <v>403</v>
      </c>
      <c r="C215" s="3"/>
      <c r="D215" s="3"/>
      <c r="E215" s="3" t="n">
        <f aca="false">D215-C215</f>
        <v>0</v>
      </c>
    </row>
    <row r="216" customFormat="false" ht="15" hidden="false" customHeight="false" outlineLevel="0" collapsed="false">
      <c r="A216" s="2" t="n">
        <v>114106309</v>
      </c>
      <c r="B216" s="2" t="s">
        <v>404</v>
      </c>
      <c r="C216" s="3"/>
      <c r="D216" s="3" t="n">
        <v>582095</v>
      </c>
      <c r="E216" s="3" t="n">
        <f aca="false">D216-C216</f>
        <v>582095</v>
      </c>
    </row>
    <row r="217" customFormat="false" ht="15" hidden="false" customHeight="false" outlineLevel="0" collapsed="false">
      <c r="A217" s="2" t="n">
        <v>114107205</v>
      </c>
      <c r="B217" s="2" t="s">
        <v>405</v>
      </c>
      <c r="C217" s="3"/>
      <c r="D217" s="3"/>
      <c r="E217" s="3" t="n">
        <f aca="false">D217-C217</f>
        <v>0</v>
      </c>
    </row>
    <row r="218" customFormat="false" ht="15" hidden="false" customHeight="false" outlineLevel="0" collapsed="false">
      <c r="A218" s="2" t="n">
        <v>114107206</v>
      </c>
      <c r="B218" s="2" t="s">
        <v>406</v>
      </c>
      <c r="C218" s="3" t="n">
        <v>37592941</v>
      </c>
      <c r="D218" s="3"/>
      <c r="E218" s="3" t="n">
        <f aca="false">D218-C218</f>
        <v>-37592941</v>
      </c>
    </row>
    <row r="219" customFormat="false" ht="15" hidden="false" customHeight="false" outlineLevel="0" collapsed="false">
      <c r="A219" s="2" t="n">
        <v>114107310</v>
      </c>
      <c r="B219" s="2" t="s">
        <v>407</v>
      </c>
      <c r="C219" s="3"/>
      <c r="D219" s="3"/>
      <c r="E219" s="3" t="n">
        <f aca="false">D219-C219</f>
        <v>0</v>
      </c>
    </row>
    <row r="220" customFormat="false" ht="15" hidden="false" customHeight="false" outlineLevel="0" collapsed="false">
      <c r="A220" s="2" t="n">
        <v>114107311</v>
      </c>
      <c r="B220" s="2" t="s">
        <v>408</v>
      </c>
      <c r="C220" s="3"/>
      <c r="D220" s="3"/>
      <c r="E220" s="3" t="n">
        <f aca="false">D220-C220</f>
        <v>0</v>
      </c>
    </row>
    <row r="221" customFormat="false" ht="15" hidden="false" customHeight="false" outlineLevel="0" collapsed="false">
      <c r="A221" s="2" t="n">
        <v>114108107</v>
      </c>
      <c r="B221" s="2" t="s">
        <v>409</v>
      </c>
      <c r="C221" s="3"/>
      <c r="D221" s="3" t="n">
        <v>17550</v>
      </c>
      <c r="E221" s="3" t="n">
        <f aca="false">D221-C221</f>
        <v>17550</v>
      </c>
    </row>
    <row r="222" customFormat="false" ht="15" hidden="false" customHeight="false" outlineLevel="0" collapsed="false">
      <c r="A222" s="2" t="n">
        <v>114108301</v>
      </c>
      <c r="B222" s="2" t="s">
        <v>410</v>
      </c>
      <c r="C222" s="3" t="n">
        <v>1731739</v>
      </c>
      <c r="D222" s="3"/>
      <c r="E222" s="3" t="n">
        <f aca="false">D222-C222</f>
        <v>-1731739</v>
      </c>
    </row>
    <row r="223" customFormat="false" ht="15" hidden="false" customHeight="false" outlineLevel="0" collapsed="false">
      <c r="A223" s="2" t="n">
        <v>114108311</v>
      </c>
      <c r="B223" s="2" t="s">
        <v>411</v>
      </c>
      <c r="C223" s="3"/>
      <c r="D223" s="3"/>
      <c r="E223" s="3" t="n">
        <f aca="false">D223-C223</f>
        <v>0</v>
      </c>
    </row>
    <row r="224" customFormat="false" ht="15" hidden="false" customHeight="false" outlineLevel="0" collapsed="false">
      <c r="A224" s="2" t="n">
        <v>114108402</v>
      </c>
      <c r="B224" s="2" t="s">
        <v>412</v>
      </c>
      <c r="C224" s="3"/>
      <c r="D224" s="3"/>
      <c r="E224" s="3" t="n">
        <f aca="false">D224-C224</f>
        <v>0</v>
      </c>
    </row>
    <row r="225" customFormat="false" ht="15" hidden="false" customHeight="false" outlineLevel="0" collapsed="false">
      <c r="A225" s="2" t="n">
        <v>114108403</v>
      </c>
      <c r="B225" s="2" t="s">
        <v>413</v>
      </c>
      <c r="C225" s="3" t="n">
        <v>3335213</v>
      </c>
      <c r="D225" s="3"/>
      <c r="E225" s="3" t="n">
        <f aca="false">D225-C225</f>
        <v>-3335213</v>
      </c>
    </row>
    <row r="226" customFormat="false" ht="15" hidden="false" customHeight="false" outlineLevel="0" collapsed="false">
      <c r="A226" s="2" t="n">
        <v>114109101</v>
      </c>
      <c r="B226" s="2" t="s">
        <v>414</v>
      </c>
      <c r="C226" s="3" t="n">
        <v>12611237</v>
      </c>
      <c r="D226" s="3"/>
      <c r="E226" s="3" t="n">
        <f aca="false">D226-C226</f>
        <v>-12611237</v>
      </c>
    </row>
    <row r="227" customFormat="false" ht="15" hidden="false" customHeight="false" outlineLevel="0" collapsed="false">
      <c r="A227" s="2" t="n">
        <v>114109312</v>
      </c>
      <c r="B227" s="2" t="s">
        <v>415</v>
      </c>
      <c r="C227" s="3"/>
      <c r="D227" s="3"/>
      <c r="E227" s="3" t="n">
        <f aca="false">D227-C227</f>
        <v>0</v>
      </c>
    </row>
    <row r="228" customFormat="false" ht="15" hidden="false" customHeight="false" outlineLevel="0" collapsed="false">
      <c r="A228" s="2" t="n">
        <v>114110108</v>
      </c>
      <c r="B228" s="2" t="s">
        <v>416</v>
      </c>
      <c r="C228" s="3" t="n">
        <v>14921147</v>
      </c>
      <c r="D228" s="3"/>
      <c r="E228" s="3" t="n">
        <f aca="false">D228-C228</f>
        <v>-14921147</v>
      </c>
    </row>
    <row r="229" customFormat="false" ht="15" hidden="false" customHeight="false" outlineLevel="0" collapsed="false">
      <c r="A229" s="2" t="n">
        <v>114110109</v>
      </c>
      <c r="B229" s="2" t="s">
        <v>417</v>
      </c>
      <c r="C229" s="3" t="n">
        <v>15179216</v>
      </c>
      <c r="D229" s="3"/>
      <c r="E229" s="3" t="n">
        <f aca="false">D229-C229</f>
        <v>-15179216</v>
      </c>
    </row>
    <row r="230" customFormat="false" ht="15" hidden="false" customHeight="false" outlineLevel="0" collapsed="false">
      <c r="A230" s="2" t="n">
        <v>114110601</v>
      </c>
      <c r="B230" s="2" t="s">
        <v>418</v>
      </c>
      <c r="C230" s="3"/>
      <c r="D230" s="3"/>
      <c r="E230" s="3" t="n">
        <f aca="false">D230-C230</f>
        <v>0</v>
      </c>
    </row>
    <row r="231" customFormat="false" ht="15" hidden="false" customHeight="false" outlineLevel="0" collapsed="false">
      <c r="A231" s="2" t="n">
        <v>114111102</v>
      </c>
      <c r="B231" s="2" t="s">
        <v>419</v>
      </c>
      <c r="C231" s="3"/>
      <c r="D231" s="3"/>
      <c r="E231" s="3" t="n">
        <f aca="false">D231-C231</f>
        <v>0</v>
      </c>
    </row>
    <row r="232" customFormat="false" ht="15" hidden="false" customHeight="false" outlineLevel="0" collapsed="false">
      <c r="A232" s="2" t="n">
        <v>114111201</v>
      </c>
      <c r="B232" s="2" t="s">
        <v>420</v>
      </c>
      <c r="C232" s="3" t="n">
        <v>184217961</v>
      </c>
      <c r="D232" s="3"/>
      <c r="E232" s="3" t="n">
        <f aca="false">D232-C232</f>
        <v>-184217961</v>
      </c>
    </row>
    <row r="233" customFormat="false" ht="15" hidden="false" customHeight="false" outlineLevel="0" collapsed="false">
      <c r="A233" s="2" t="n">
        <v>114111703</v>
      </c>
      <c r="B233" s="2" t="s">
        <v>421</v>
      </c>
      <c r="C233" s="3"/>
      <c r="D233" s="3"/>
      <c r="E233" s="3" t="n">
        <f aca="false">D233-C233</f>
        <v>0</v>
      </c>
    </row>
    <row r="234" customFormat="false" ht="15" hidden="false" customHeight="false" outlineLevel="0" collapsed="false">
      <c r="A234" s="2" t="n">
        <v>114112313</v>
      </c>
      <c r="B234" s="2" t="s">
        <v>422</v>
      </c>
      <c r="C234" s="3"/>
      <c r="D234" s="3"/>
      <c r="E234" s="3" t="n">
        <f aca="false">D234-C234</f>
        <v>0</v>
      </c>
    </row>
    <row r="235" customFormat="false" ht="15" hidden="false" customHeight="false" outlineLevel="0" collapsed="false">
      <c r="A235" s="2" t="n">
        <v>114112401</v>
      </c>
      <c r="B235" s="2" t="s">
        <v>423</v>
      </c>
      <c r="C235" s="3" t="n">
        <v>55726884</v>
      </c>
      <c r="D235" s="3"/>
      <c r="E235" s="3" t="n">
        <f aca="false">D235-C235</f>
        <v>-55726884</v>
      </c>
    </row>
    <row r="236" customFormat="false" ht="15" hidden="false" customHeight="false" outlineLevel="0" collapsed="false">
      <c r="A236" s="2" t="n">
        <v>114113110</v>
      </c>
      <c r="B236" s="2" t="s">
        <v>424</v>
      </c>
      <c r="C236" s="3" t="n">
        <v>2063694</v>
      </c>
      <c r="D236" s="3"/>
      <c r="E236" s="3" t="n">
        <f aca="false">D236-C236</f>
        <v>-2063694</v>
      </c>
    </row>
    <row r="237" customFormat="false" ht="15" hidden="false" customHeight="false" outlineLevel="0" collapsed="false">
      <c r="A237" s="2" t="n">
        <v>114114111</v>
      </c>
      <c r="B237" s="2" t="s">
        <v>425</v>
      </c>
      <c r="C237" s="3" t="n">
        <v>19302133</v>
      </c>
      <c r="D237" s="3"/>
      <c r="E237" s="3" t="n">
        <f aca="false">D237-C237</f>
        <v>-19302133</v>
      </c>
    </row>
    <row r="238" customFormat="false" ht="15" hidden="false" customHeight="false" outlineLevel="0" collapsed="false">
      <c r="A238" s="2" t="n">
        <v>114116401</v>
      </c>
      <c r="B238" s="2" t="s">
        <v>426</v>
      </c>
      <c r="C238" s="3"/>
      <c r="D238" s="3"/>
      <c r="E238" s="3" t="n">
        <f aca="false">D238-C238</f>
        <v>0</v>
      </c>
    </row>
    <row r="239" customFormat="false" ht="15" hidden="false" customHeight="false" outlineLevel="0" collapsed="false">
      <c r="A239" s="2" t="n">
        <v>114119101</v>
      </c>
      <c r="B239" s="2" t="s">
        <v>427</v>
      </c>
      <c r="C239" s="3"/>
      <c r="D239" s="3"/>
      <c r="E239" s="3" t="n">
        <f aca="false">D239-C239</f>
        <v>0</v>
      </c>
    </row>
    <row r="240" customFormat="false" ht="15" hidden="false" customHeight="false" outlineLevel="0" collapsed="false">
      <c r="A240" s="2" t="n">
        <v>114119102</v>
      </c>
      <c r="B240" s="2" t="s">
        <v>428</v>
      </c>
      <c r="C240" s="3" t="n">
        <v>130880437</v>
      </c>
      <c r="D240" s="3"/>
      <c r="E240" s="3" t="n">
        <f aca="false">D240-C240</f>
        <v>-130880437</v>
      </c>
    </row>
    <row r="241" customFormat="false" ht="15" hidden="false" customHeight="false" outlineLevel="0" collapsed="false">
      <c r="A241" s="2" t="n">
        <v>114119103</v>
      </c>
      <c r="B241" s="2" t="s">
        <v>429</v>
      </c>
      <c r="C241" s="3" t="n">
        <v>44312128</v>
      </c>
      <c r="D241" s="3"/>
      <c r="E241" s="3" t="n">
        <f aca="false">D241-C241</f>
        <v>-44312128</v>
      </c>
    </row>
    <row r="242" customFormat="false" ht="15" hidden="false" customHeight="false" outlineLevel="0" collapsed="false">
      <c r="A242" s="2" t="n">
        <v>114119104</v>
      </c>
      <c r="B242" s="2" t="s">
        <v>430</v>
      </c>
      <c r="C242" s="3" t="n">
        <v>14133450</v>
      </c>
      <c r="D242" s="3"/>
      <c r="E242" s="3" t="n">
        <f aca="false">D242-C242</f>
        <v>-14133450</v>
      </c>
    </row>
    <row r="243" customFormat="false" ht="15" hidden="false" customHeight="false" outlineLevel="0" collapsed="false">
      <c r="A243" s="2" t="n">
        <v>114119105</v>
      </c>
      <c r="B243" s="2" t="s">
        <v>431</v>
      </c>
      <c r="C243" s="3"/>
      <c r="D243" s="3"/>
      <c r="E243" s="3" t="n">
        <f aca="false">D243-C243</f>
        <v>0</v>
      </c>
    </row>
    <row r="244" customFormat="false" ht="15" hidden="false" customHeight="false" outlineLevel="0" collapsed="false">
      <c r="A244" s="2" t="n">
        <v>114119106</v>
      </c>
      <c r="B244" s="2" t="s">
        <v>432</v>
      </c>
      <c r="C244" s="3" t="n">
        <v>47929179</v>
      </c>
      <c r="D244" s="3"/>
      <c r="E244" s="3" t="n">
        <f aca="false">D244-C244</f>
        <v>-47929179</v>
      </c>
    </row>
    <row r="245" customFormat="false" ht="15" hidden="false" customHeight="false" outlineLevel="0" collapsed="false">
      <c r="A245" s="2" t="n">
        <v>114119107</v>
      </c>
      <c r="B245" s="2" t="s">
        <v>433</v>
      </c>
      <c r="C245" s="3" t="n">
        <v>2838930</v>
      </c>
      <c r="D245" s="3"/>
      <c r="E245" s="3" t="n">
        <f aca="false">D245-C245</f>
        <v>-2838930</v>
      </c>
    </row>
    <row r="246" customFormat="false" ht="15" hidden="false" customHeight="false" outlineLevel="0" collapsed="false">
      <c r="A246" s="2" t="n">
        <v>114600000</v>
      </c>
      <c r="B246" s="2" t="s">
        <v>434</v>
      </c>
      <c r="C246" s="3"/>
      <c r="D246" s="3" t="n">
        <v>3249662</v>
      </c>
      <c r="E246" s="3" t="n">
        <f aca="false">D246-C246</f>
        <v>3249662</v>
      </c>
    </row>
    <row r="247" customFormat="false" ht="15" hidden="false" customHeight="false" outlineLevel="0" collapsed="false">
      <c r="A247" s="2" t="n">
        <v>114700000</v>
      </c>
      <c r="B247" s="2" t="s">
        <v>435</v>
      </c>
      <c r="C247" s="3" t="n">
        <v>1050838</v>
      </c>
      <c r="D247" s="3"/>
      <c r="E247" s="3" t="n">
        <f aca="false">D247-C247</f>
        <v>-1050838</v>
      </c>
    </row>
    <row r="248" customFormat="false" ht="15" hidden="false" customHeight="false" outlineLevel="0" collapsed="false">
      <c r="A248" s="2" t="n">
        <v>117600000</v>
      </c>
      <c r="B248" s="2" t="s">
        <v>436</v>
      </c>
      <c r="C248" s="3"/>
      <c r="D248" s="3"/>
      <c r="E248" s="3" t="n">
        <f aca="false">D248-C248</f>
        <v>0</v>
      </c>
    </row>
    <row r="249" customFormat="false" ht="15" hidden="false" customHeight="false" outlineLevel="0" collapsed="false">
      <c r="A249" s="2" t="n">
        <v>126110000</v>
      </c>
      <c r="B249" s="2" t="s">
        <v>437</v>
      </c>
      <c r="C249" s="3"/>
      <c r="D249" s="3"/>
      <c r="E249" s="3" t="n">
        <f aca="false">D249-C249</f>
        <v>0</v>
      </c>
    </row>
    <row r="250" customFormat="false" ht="15" hidden="false" customHeight="false" outlineLevel="0" collapsed="false">
      <c r="A250" s="2" t="n">
        <v>126114000</v>
      </c>
      <c r="B250" s="2" t="s">
        <v>438</v>
      </c>
      <c r="C250" s="3"/>
      <c r="D250" s="3"/>
      <c r="E250" s="3" t="n">
        <f aca="false">D250-C250</f>
        <v>0</v>
      </c>
    </row>
    <row r="251" customFormat="false" ht="15" hidden="false" customHeight="false" outlineLevel="0" collapsed="false">
      <c r="A251" s="2" t="n">
        <v>126124000</v>
      </c>
      <c r="B251" s="2" t="s">
        <v>439</v>
      </c>
      <c r="C251" s="3"/>
      <c r="D251" s="3"/>
      <c r="E251" s="3" t="n">
        <f aca="false">D251-C251</f>
        <v>0</v>
      </c>
    </row>
    <row r="252" customFormat="false" ht="15" hidden="false" customHeight="false" outlineLevel="0" collapsed="false">
      <c r="A252" s="2" t="n">
        <v>126134000</v>
      </c>
      <c r="B252" s="2" t="s">
        <v>440</v>
      </c>
      <c r="C252" s="3" t="n">
        <v>500000000</v>
      </c>
      <c r="D252" s="3"/>
      <c r="E252" s="3" t="n">
        <f aca="false">D252-C252</f>
        <v>-500000000</v>
      </c>
    </row>
    <row r="253" customFormat="false" ht="15" hidden="false" customHeight="false" outlineLevel="0" collapsed="false">
      <c r="A253" s="2" t="n">
        <v>126140000</v>
      </c>
      <c r="B253" s="2" t="s">
        <v>441</v>
      </c>
      <c r="C253" s="3"/>
      <c r="D253" s="3"/>
      <c r="E253" s="3" t="n">
        <f aca="false">D253-C253</f>
        <v>0</v>
      </c>
    </row>
    <row r="254" customFormat="false" ht="15" hidden="false" customHeight="false" outlineLevel="0" collapsed="false">
      <c r="A254" s="2" t="n">
        <v>126144000</v>
      </c>
      <c r="B254" s="2" t="s">
        <v>442</v>
      </c>
      <c r="C254" s="3" t="n">
        <v>300000000</v>
      </c>
      <c r="D254" s="3"/>
      <c r="E254" s="3" t="n">
        <f aca="false">D254-C254</f>
        <v>-300000000</v>
      </c>
    </row>
    <row r="255" customFormat="false" ht="15" hidden="false" customHeight="false" outlineLevel="0" collapsed="false">
      <c r="A255" s="2" t="n">
        <v>126700000</v>
      </c>
      <c r="B255" s="2" t="s">
        <v>443</v>
      </c>
      <c r="C255" s="3" t="n">
        <v>19027398</v>
      </c>
      <c r="D255" s="3"/>
      <c r="E255" s="3" t="n">
        <f aca="false">D255-C255</f>
        <v>-19027398</v>
      </c>
    </row>
    <row r="256" customFormat="false" ht="15" hidden="false" customHeight="false" outlineLevel="0" collapsed="false">
      <c r="A256" s="2" t="n">
        <v>127100000</v>
      </c>
      <c r="B256" s="2" t="s">
        <v>444</v>
      </c>
      <c r="C256" s="3" t="n">
        <v>916461530</v>
      </c>
      <c r="D256" s="3"/>
      <c r="E256" s="3" t="n">
        <f aca="false">D256-C256</f>
        <v>-916461530</v>
      </c>
    </row>
    <row r="257" customFormat="false" ht="15" hidden="false" customHeight="false" outlineLevel="0" collapsed="false">
      <c r="A257" s="2" t="n">
        <v>131131000</v>
      </c>
      <c r="B257" s="2" t="s">
        <v>445</v>
      </c>
      <c r="C257" s="3"/>
      <c r="D257" s="3"/>
      <c r="E257" s="3" t="n">
        <f aca="false">D257-C257</f>
        <v>0</v>
      </c>
    </row>
    <row r="258" customFormat="false" ht="15" hidden="false" customHeight="false" outlineLevel="0" collapsed="false">
      <c r="A258" s="2" t="n">
        <v>133130000</v>
      </c>
      <c r="B258" s="2" t="s">
        <v>446</v>
      </c>
      <c r="C258" s="3" t="n">
        <v>37200000000</v>
      </c>
      <c r="D258" s="3"/>
      <c r="E258" s="3" t="n">
        <f aca="false">D258-C258</f>
        <v>-37200000000</v>
      </c>
    </row>
    <row r="259" customFormat="false" ht="15" hidden="false" customHeight="false" outlineLevel="0" collapsed="false">
      <c r="A259" s="2" t="n">
        <v>156101000</v>
      </c>
      <c r="B259" s="2" t="s">
        <v>447</v>
      </c>
      <c r="C259" s="3"/>
      <c r="D259" s="3" t="n">
        <v>2617004119</v>
      </c>
      <c r="E259" s="3" t="n">
        <f aca="false">D259-C259</f>
        <v>2617004119</v>
      </c>
    </row>
    <row r="260" customFormat="false" ht="15" hidden="false" customHeight="false" outlineLevel="0" collapsed="false">
      <c r="A260" s="2" t="n">
        <v>156102000</v>
      </c>
      <c r="B260" s="2" t="s">
        <v>448</v>
      </c>
      <c r="C260" s="3"/>
      <c r="D260" s="3" t="n">
        <v>364123040</v>
      </c>
      <c r="E260" s="3" t="n">
        <f aca="false">D260-C260</f>
        <v>364123040</v>
      </c>
    </row>
    <row r="261" customFormat="false" ht="15" hidden="false" customHeight="false" outlineLevel="0" collapsed="false">
      <c r="A261" s="2" t="n">
        <v>156110000</v>
      </c>
      <c r="B261" s="2" t="s">
        <v>449</v>
      </c>
      <c r="C261" s="3"/>
      <c r="D261" s="3" t="n">
        <v>1439590086</v>
      </c>
      <c r="E261" s="3" t="n">
        <f aca="false">D261-C261</f>
        <v>1439590086</v>
      </c>
    </row>
    <row r="262" customFormat="false" ht="15" hidden="false" customHeight="false" outlineLevel="0" collapsed="false">
      <c r="A262" s="2" t="n">
        <v>156120000</v>
      </c>
      <c r="B262" s="2" t="s">
        <v>450</v>
      </c>
      <c r="C262" s="3" t="n">
        <v>119052185</v>
      </c>
      <c r="D262" s="3"/>
      <c r="E262" s="3" t="n">
        <f aca="false">D262-C262</f>
        <v>-119052185</v>
      </c>
    </row>
    <row r="263" customFormat="false" ht="15" hidden="false" customHeight="false" outlineLevel="0" collapsed="false">
      <c r="A263" s="2" t="n">
        <v>156130000</v>
      </c>
      <c r="B263" s="2" t="s">
        <v>451</v>
      </c>
      <c r="C263" s="3"/>
      <c r="D263" s="3" t="n">
        <v>56205203</v>
      </c>
      <c r="E263" s="3" t="n">
        <f aca="false">D263-C263</f>
        <v>56205203</v>
      </c>
    </row>
    <row r="264" customFormat="false" ht="15" hidden="false" customHeight="false" outlineLevel="0" collapsed="false">
      <c r="A264" s="2" t="n">
        <v>156140000</v>
      </c>
      <c r="B264" s="2" t="s">
        <v>452</v>
      </c>
      <c r="C264" s="3" t="n">
        <v>96211973</v>
      </c>
      <c r="D264" s="3"/>
      <c r="E264" s="3" t="n">
        <f aca="false">D264-C264</f>
        <v>-96211973</v>
      </c>
    </row>
    <row r="265" customFormat="false" ht="15" hidden="false" customHeight="false" outlineLevel="0" collapsed="false">
      <c r="A265" s="2" t="n">
        <v>156150000</v>
      </c>
      <c r="B265" s="2" t="s">
        <v>453</v>
      </c>
      <c r="C265" s="3" t="n">
        <v>424987854</v>
      </c>
      <c r="D265" s="3"/>
      <c r="E265" s="3" t="n">
        <f aca="false">D265-C265</f>
        <v>-424987854</v>
      </c>
    </row>
    <row r="266" customFormat="false" ht="15" hidden="false" customHeight="false" outlineLevel="0" collapsed="false">
      <c r="A266" s="2" t="n">
        <v>156160000</v>
      </c>
      <c r="B266" s="2" t="s">
        <v>454</v>
      </c>
      <c r="C266" s="3" t="n">
        <v>434795686</v>
      </c>
      <c r="D266" s="3"/>
      <c r="E266" s="3" t="n">
        <f aca="false">D266-C266</f>
        <v>-434795686</v>
      </c>
    </row>
    <row r="267" customFormat="false" ht="15" hidden="false" customHeight="false" outlineLevel="0" collapsed="false">
      <c r="A267" s="2" t="n">
        <v>156170000</v>
      </c>
      <c r="B267" s="2" t="s">
        <v>455</v>
      </c>
      <c r="C267" s="3"/>
      <c r="D267" s="3" t="n">
        <v>142918584</v>
      </c>
      <c r="E267" s="3" t="n">
        <f aca="false">D267-C267</f>
        <v>142918584</v>
      </c>
    </row>
    <row r="268" customFormat="false" ht="15" hidden="false" customHeight="false" outlineLevel="0" collapsed="false">
      <c r="A268" s="2" t="n">
        <v>156180000</v>
      </c>
      <c r="B268" s="2" t="s">
        <v>456</v>
      </c>
      <c r="C268" s="3" t="n">
        <v>431301303</v>
      </c>
      <c r="D268" s="3"/>
      <c r="E268" s="3" t="n">
        <f aca="false">D268-C268</f>
        <v>-431301303</v>
      </c>
    </row>
    <row r="269" customFormat="false" ht="15" hidden="false" customHeight="false" outlineLevel="0" collapsed="false">
      <c r="A269" s="2" t="n">
        <v>156190000</v>
      </c>
      <c r="B269" s="2" t="s">
        <v>457</v>
      </c>
      <c r="C269" s="3"/>
      <c r="D269" s="3" t="n">
        <v>532797451</v>
      </c>
      <c r="E269" s="3" t="n">
        <f aca="false">D269-C269</f>
        <v>532797451</v>
      </c>
    </row>
    <row r="270" customFormat="false" ht="15" hidden="false" customHeight="false" outlineLevel="0" collapsed="false">
      <c r="A270" s="2" t="n">
        <v>161117000</v>
      </c>
      <c r="B270" s="2" t="s">
        <v>458</v>
      </c>
      <c r="C270" s="3"/>
      <c r="D270" s="3"/>
      <c r="E270" s="3" t="n">
        <f aca="false">D270-C270</f>
        <v>0</v>
      </c>
    </row>
    <row r="271" customFormat="false" ht="15" hidden="false" customHeight="false" outlineLevel="0" collapsed="false">
      <c r="A271" s="2" t="n">
        <v>161147000</v>
      </c>
      <c r="B271" s="2" t="s">
        <v>459</v>
      </c>
      <c r="C271" s="3"/>
      <c r="D271" s="3" t="n">
        <v>3</v>
      </c>
      <c r="E271" s="3" t="n">
        <f aca="false">D271-C271</f>
        <v>3</v>
      </c>
    </row>
    <row r="272" customFormat="false" ht="15" hidden="false" customHeight="false" outlineLevel="0" collapsed="false">
      <c r="A272" s="2" t="n">
        <v>161157000</v>
      </c>
      <c r="B272" s="2" t="s">
        <v>460</v>
      </c>
      <c r="C272" s="3"/>
      <c r="D272" s="3"/>
      <c r="E272" s="3" t="n">
        <f aca="false">D272-C272</f>
        <v>0</v>
      </c>
    </row>
    <row r="273" customFormat="false" ht="15" hidden="false" customHeight="false" outlineLevel="0" collapsed="false">
      <c r="A273" s="2" t="n">
        <v>161600000</v>
      </c>
      <c r="B273" s="2" t="s">
        <v>461</v>
      </c>
      <c r="C273" s="3" t="n">
        <v>11411878</v>
      </c>
      <c r="D273" s="3"/>
      <c r="E273" s="3" t="n">
        <f aca="false">D273-C273</f>
        <v>-11411878</v>
      </c>
    </row>
    <row r="274" customFormat="false" ht="15" hidden="false" customHeight="false" outlineLevel="0" collapsed="false">
      <c r="A274" s="2" t="n">
        <v>175121000</v>
      </c>
      <c r="B274" s="2" t="s">
        <v>462</v>
      </c>
      <c r="C274" s="3"/>
      <c r="D274" s="3"/>
      <c r="E274" s="3" t="n">
        <f aca="false">D274-C274</f>
        <v>0</v>
      </c>
    </row>
    <row r="275" customFormat="false" ht="15" hidden="false" customHeight="false" outlineLevel="0" collapsed="false">
      <c r="A275" s="2" t="n">
        <v>175131000</v>
      </c>
      <c r="B275" s="2" t="s">
        <v>463</v>
      </c>
      <c r="C275" s="3"/>
      <c r="D275" s="3"/>
      <c r="E275" s="3" t="n">
        <f aca="false">D275-C275</f>
        <v>0</v>
      </c>
    </row>
    <row r="276" customFormat="false" ht="15" hidden="false" customHeight="false" outlineLevel="0" collapsed="false">
      <c r="A276" s="2" t="n">
        <v>175141000</v>
      </c>
      <c r="B276" s="2" t="s">
        <v>464</v>
      </c>
      <c r="C276" s="3"/>
      <c r="D276" s="3"/>
      <c r="E276" s="3" t="n">
        <f aca="false">D276-C276</f>
        <v>0</v>
      </c>
    </row>
    <row r="277" customFormat="false" ht="15" hidden="false" customHeight="false" outlineLevel="0" collapsed="false">
      <c r="A277" s="2" t="n">
        <v>175600000</v>
      </c>
      <c r="B277" s="2" t="s">
        <v>465</v>
      </c>
      <c r="C277" s="3"/>
      <c r="D277" s="3"/>
      <c r="E277" s="3" t="n">
        <f aca="false">D277-C277</f>
        <v>0</v>
      </c>
    </row>
    <row r="278" customFormat="false" ht="15" hidden="false" customHeight="false" outlineLevel="0" collapsed="false">
      <c r="A278" s="2" t="n">
        <v>178121000</v>
      </c>
      <c r="B278" s="2" t="s">
        <v>466</v>
      </c>
      <c r="C278" s="3"/>
      <c r="D278" s="3" t="n">
        <v>17210862993</v>
      </c>
      <c r="E278" s="3" t="n">
        <f aca="false">D278-C278</f>
        <v>17210862993</v>
      </c>
    </row>
    <row r="279" customFormat="false" ht="15" hidden="false" customHeight="false" outlineLevel="0" collapsed="false">
      <c r="A279" s="2" t="n">
        <v>178130000</v>
      </c>
      <c r="B279" s="2" t="s">
        <v>467</v>
      </c>
      <c r="C279" s="3"/>
      <c r="D279" s="3" t="n">
        <v>37200000000</v>
      </c>
      <c r="E279" s="3" t="n">
        <f aca="false">D279-C279</f>
        <v>37200000000</v>
      </c>
    </row>
    <row r="280" customFormat="false" ht="15" hidden="false" customHeight="false" outlineLevel="0" collapsed="false">
      <c r="A280" s="2" t="n">
        <v>178141000</v>
      </c>
      <c r="B280" s="2" t="s">
        <v>468</v>
      </c>
      <c r="C280" s="3"/>
      <c r="D280" s="3" t="n">
        <v>16941677601</v>
      </c>
      <c r="E280" s="3" t="n">
        <f aca="false">D280-C280</f>
        <v>16941677601</v>
      </c>
    </row>
    <row r="281" customFormat="false" ht="15" hidden="false" customHeight="false" outlineLevel="0" collapsed="false">
      <c r="A281" s="2" t="n">
        <v>178600000</v>
      </c>
      <c r="B281" s="2" t="s">
        <v>469</v>
      </c>
      <c r="C281" s="3" t="n">
        <v>53580721</v>
      </c>
      <c r="D281" s="3"/>
      <c r="E281" s="3" t="n">
        <f aca="false">D281-C281</f>
        <v>-53580721</v>
      </c>
    </row>
    <row r="282" customFormat="false" ht="15" hidden="false" customHeight="false" outlineLevel="0" collapsed="false">
      <c r="A282" s="2" t="n">
        <v>179100000</v>
      </c>
      <c r="B282" s="2" t="s">
        <v>470</v>
      </c>
      <c r="C282" s="3"/>
      <c r="D282" s="3" t="n">
        <v>73825000</v>
      </c>
      <c r="E282" s="3" t="n">
        <f aca="false">D282-C282</f>
        <v>73825000</v>
      </c>
    </row>
    <row r="283" customFormat="false" ht="15" hidden="false" customHeight="false" outlineLevel="0" collapsed="false">
      <c r="A283" s="2" t="n">
        <v>179110000</v>
      </c>
      <c r="B283" s="2" t="s">
        <v>471</v>
      </c>
      <c r="C283" s="3"/>
      <c r="D283" s="3" t="n">
        <v>9</v>
      </c>
      <c r="E283" s="3" t="n">
        <f aca="false">D283-C283</f>
        <v>9</v>
      </c>
    </row>
    <row r="284" customFormat="false" ht="15" hidden="false" customHeight="false" outlineLevel="0" collapsed="false">
      <c r="A284" s="2" t="n">
        <v>181000000</v>
      </c>
      <c r="B284" s="2" t="s">
        <v>472</v>
      </c>
      <c r="C284" s="3"/>
      <c r="D284" s="3"/>
      <c r="E284" s="3" t="n">
        <f aca="false">D284-C284</f>
        <v>0</v>
      </c>
    </row>
    <row r="285" customFormat="false" ht="15" hidden="false" customHeight="false" outlineLevel="0" collapsed="false">
      <c r="A285" s="2" t="n">
        <v>181100000</v>
      </c>
      <c r="B285" s="2" t="s">
        <v>473</v>
      </c>
      <c r="C285" s="3"/>
      <c r="D285" s="3" t="n">
        <v>371271663</v>
      </c>
      <c r="E285" s="3" t="n">
        <f aca="false">D285-C285</f>
        <v>371271663</v>
      </c>
    </row>
    <row r="286" customFormat="false" ht="15" hidden="false" customHeight="false" outlineLevel="0" collapsed="false">
      <c r="A286" s="2" t="n">
        <v>181110000</v>
      </c>
      <c r="B286" s="2" t="s">
        <v>474</v>
      </c>
      <c r="C286" s="3"/>
      <c r="D286" s="3"/>
      <c r="E286" s="3" t="n">
        <f aca="false">D286-C286</f>
        <v>0</v>
      </c>
    </row>
    <row r="287" customFormat="false" ht="15" hidden="false" customHeight="false" outlineLevel="0" collapsed="false">
      <c r="A287" s="2" t="n">
        <v>181120000</v>
      </c>
      <c r="B287" s="2" t="s">
        <v>475</v>
      </c>
      <c r="C287" s="3"/>
      <c r="D287" s="3"/>
      <c r="E287" s="3" t="n">
        <f aca="false">D287-C287</f>
        <v>0</v>
      </c>
    </row>
    <row r="288" customFormat="false" ht="15" hidden="false" customHeight="false" outlineLevel="0" collapsed="false">
      <c r="A288" s="2" t="n">
        <v>181130000</v>
      </c>
      <c r="B288" s="2" t="s">
        <v>476</v>
      </c>
      <c r="C288" s="3"/>
      <c r="D288" s="3"/>
      <c r="E288" s="3" t="n">
        <f aca="false">D288-C288</f>
        <v>0</v>
      </c>
    </row>
    <row r="289" customFormat="false" ht="15" hidden="false" customHeight="false" outlineLevel="0" collapsed="false">
      <c r="A289" s="2" t="n">
        <v>182000000</v>
      </c>
      <c r="B289" s="2" t="s">
        <v>477</v>
      </c>
      <c r="C289" s="3"/>
      <c r="D289" s="3" t="n">
        <v>10937790</v>
      </c>
      <c r="E289" s="3" t="n">
        <f aca="false">D289-C289</f>
        <v>10937790</v>
      </c>
    </row>
    <row r="290" customFormat="false" ht="15" hidden="false" customHeight="false" outlineLevel="0" collapsed="false">
      <c r="A290" s="2" t="n">
        <v>182010000</v>
      </c>
      <c r="B290" s="2" t="s">
        <v>478</v>
      </c>
      <c r="C290" s="3"/>
      <c r="D290" s="3" t="n">
        <v>54595321</v>
      </c>
      <c r="E290" s="3" t="n">
        <f aca="false">D290-C290</f>
        <v>54595321</v>
      </c>
    </row>
    <row r="291" customFormat="false" ht="15" hidden="false" customHeight="false" outlineLevel="0" collapsed="false">
      <c r="A291" s="2" t="n">
        <v>182020000</v>
      </c>
      <c r="B291" s="2" t="s">
        <v>479</v>
      </c>
      <c r="C291" s="3"/>
      <c r="D291" s="3"/>
      <c r="E291" s="3" t="n">
        <f aca="false">D291-C291</f>
        <v>0</v>
      </c>
    </row>
    <row r="292" customFormat="false" ht="15" hidden="false" customHeight="false" outlineLevel="0" collapsed="false">
      <c r="A292" s="2" t="n">
        <v>182030000</v>
      </c>
      <c r="B292" s="2" t="s">
        <v>480</v>
      </c>
      <c r="C292" s="3" t="n">
        <v>65382846</v>
      </c>
      <c r="D292" s="3"/>
      <c r="E292" s="3" t="n">
        <f aca="false">D292-C292</f>
        <v>-65382846</v>
      </c>
    </row>
    <row r="293" customFormat="false" ht="15" hidden="false" customHeight="false" outlineLevel="0" collapsed="false">
      <c r="A293" s="2" t="n">
        <v>183000000</v>
      </c>
      <c r="B293" s="2" t="s">
        <v>481</v>
      </c>
      <c r="C293" s="3"/>
      <c r="D293" s="3"/>
      <c r="E293" s="3" t="n">
        <f aca="false">D293-C293</f>
        <v>0</v>
      </c>
    </row>
    <row r="294" customFormat="false" ht="15" hidden="false" customHeight="false" outlineLevel="0" collapsed="false">
      <c r="A294" s="2" t="n">
        <v>183100000</v>
      </c>
      <c r="B294" s="2" t="s">
        <v>482</v>
      </c>
      <c r="C294" s="3"/>
      <c r="D294" s="3" t="n">
        <v>261379588</v>
      </c>
      <c r="E294" s="3" t="n">
        <f aca="false">D294-C294</f>
        <v>261379588</v>
      </c>
    </row>
    <row r="295" customFormat="false" ht="15" hidden="false" customHeight="false" outlineLevel="0" collapsed="false">
      <c r="A295" s="2" t="n">
        <v>183200000</v>
      </c>
      <c r="B295" s="2" t="s">
        <v>483</v>
      </c>
      <c r="C295" s="3"/>
      <c r="D295" s="3" t="n">
        <v>946213890</v>
      </c>
      <c r="E295" s="3" t="n">
        <f aca="false">D295-C295</f>
        <v>946213890</v>
      </c>
    </row>
    <row r="296" customFormat="false" ht="15" hidden="false" customHeight="false" outlineLevel="0" collapsed="false">
      <c r="A296" s="2" t="n">
        <v>183220000</v>
      </c>
      <c r="B296" s="2" t="s">
        <v>484</v>
      </c>
      <c r="C296" s="3"/>
      <c r="D296" s="3" t="n">
        <v>330393516</v>
      </c>
      <c r="E296" s="3" t="n">
        <f aca="false">D296-C296</f>
        <v>330393516</v>
      </c>
    </row>
    <row r="297" customFormat="false" ht="15" hidden="false" customHeight="false" outlineLevel="0" collapsed="false">
      <c r="A297" s="2" t="n">
        <v>184010000</v>
      </c>
      <c r="B297" s="2" t="s">
        <v>485</v>
      </c>
      <c r="C297" s="3"/>
      <c r="D297" s="3" t="n">
        <v>13020178</v>
      </c>
      <c r="E297" s="3" t="n">
        <f aca="false">D297-C297</f>
        <v>13020178</v>
      </c>
    </row>
    <row r="298" customFormat="false" ht="15" hidden="false" customHeight="false" outlineLevel="0" collapsed="false">
      <c r="A298" s="2" t="n">
        <v>184020000</v>
      </c>
      <c r="B298" s="2" t="s">
        <v>486</v>
      </c>
      <c r="C298" s="3"/>
      <c r="D298" s="3" t="n">
        <v>986563</v>
      </c>
      <c r="E298" s="3" t="n">
        <f aca="false">D298-C298</f>
        <v>986563</v>
      </c>
    </row>
    <row r="299" customFormat="false" ht="15" hidden="false" customHeight="false" outlineLevel="0" collapsed="false">
      <c r="A299" s="2" t="n">
        <v>184030000</v>
      </c>
      <c r="B299" s="2" t="s">
        <v>487</v>
      </c>
      <c r="C299" s="3"/>
      <c r="D299" s="3" t="n">
        <v>50805930</v>
      </c>
      <c r="E299" s="3" t="n">
        <f aca="false">D299-C299</f>
        <v>50805930</v>
      </c>
    </row>
    <row r="300" customFormat="false" ht="15" hidden="false" customHeight="false" outlineLevel="0" collapsed="false">
      <c r="A300" s="2" t="n">
        <v>185010000</v>
      </c>
      <c r="B300" s="2" t="s">
        <v>472</v>
      </c>
      <c r="C300" s="3"/>
      <c r="D300" s="3" t="n">
        <v>488542426</v>
      </c>
      <c r="E300" s="3" t="n">
        <f aca="false">D300-C300</f>
        <v>488542426</v>
      </c>
    </row>
    <row r="301" customFormat="false" ht="15" hidden="false" customHeight="false" outlineLevel="0" collapsed="false">
      <c r="A301" s="2" t="n">
        <v>185020000</v>
      </c>
      <c r="B301" s="2" t="s">
        <v>488</v>
      </c>
      <c r="C301" s="3" t="n">
        <v>1428570821</v>
      </c>
      <c r="D301" s="3"/>
      <c r="E301" s="3" t="n">
        <f aca="false">D301-C301</f>
        <v>-1428570821</v>
      </c>
    </row>
    <row r="302" customFormat="false" ht="15" hidden="false" customHeight="false" outlineLevel="0" collapsed="false">
      <c r="A302" s="2" t="n">
        <v>185031000</v>
      </c>
      <c r="B302" s="2" t="s">
        <v>489</v>
      </c>
      <c r="C302" s="3"/>
      <c r="D302" s="3"/>
      <c r="E302" s="3" t="n">
        <f aca="false">D302-C302</f>
        <v>0</v>
      </c>
    </row>
    <row r="303" customFormat="false" ht="15" hidden="false" customHeight="false" outlineLevel="0" collapsed="false">
      <c r="A303" s="2" t="n">
        <v>185032000</v>
      </c>
      <c r="B303" s="2" t="s">
        <v>490</v>
      </c>
      <c r="C303" s="3"/>
      <c r="D303" s="3"/>
      <c r="E303" s="3" t="n">
        <f aca="false">D303-C303</f>
        <v>0</v>
      </c>
    </row>
    <row r="304" customFormat="false" ht="15" hidden="false" customHeight="false" outlineLevel="0" collapsed="false">
      <c r="A304" s="2" t="n">
        <v>185033000</v>
      </c>
      <c r="B304" s="2" t="s">
        <v>491</v>
      </c>
      <c r="C304" s="3"/>
      <c r="D304" s="3"/>
      <c r="E304" s="3" t="n">
        <f aca="false">D304-C304</f>
        <v>0</v>
      </c>
    </row>
    <row r="305" customFormat="false" ht="15" hidden="false" customHeight="false" outlineLevel="0" collapsed="false">
      <c r="A305" s="2" t="n">
        <v>186000000</v>
      </c>
      <c r="B305" s="2" t="s">
        <v>492</v>
      </c>
      <c r="C305" s="3"/>
      <c r="D305" s="3"/>
      <c r="E305" s="3" t="n">
        <f aca="false">D305-C305</f>
        <v>0</v>
      </c>
    </row>
    <row r="306" customFormat="false" ht="15" hidden="false" customHeight="false" outlineLevel="0" collapsed="false">
      <c r="A306" s="2" t="n">
        <v>202211300</v>
      </c>
      <c r="B306" s="2" t="s">
        <v>493</v>
      </c>
      <c r="C306" s="3" t="n">
        <v>2358337555</v>
      </c>
      <c r="D306" s="3"/>
      <c r="E306" s="3" t="n">
        <f aca="false">D306-C306</f>
        <v>-2358337555</v>
      </c>
    </row>
    <row r="307" customFormat="false" ht="15" hidden="false" customHeight="false" outlineLevel="0" collapsed="false">
      <c r="A307" s="2" t="n">
        <v>202212100</v>
      </c>
      <c r="B307" s="2" t="s">
        <v>494</v>
      </c>
      <c r="C307" s="3" t="n">
        <v>15025375890</v>
      </c>
      <c r="D307" s="3"/>
      <c r="E307" s="3" t="n">
        <f aca="false">D307-C307</f>
        <v>-15025375890</v>
      </c>
    </row>
    <row r="308" customFormat="false" ht="15" hidden="false" customHeight="false" outlineLevel="0" collapsed="false">
      <c r="A308" s="2" t="n">
        <v>202212200</v>
      </c>
      <c r="B308" s="2" t="s">
        <v>495</v>
      </c>
      <c r="C308" s="3" t="n">
        <v>807468256</v>
      </c>
      <c r="D308" s="3"/>
      <c r="E308" s="3" t="n">
        <f aca="false">D308-C308</f>
        <v>-807468256</v>
      </c>
    </row>
    <row r="309" customFormat="false" ht="15" hidden="false" customHeight="false" outlineLevel="0" collapsed="false">
      <c r="A309" s="2" t="n">
        <v>202212210</v>
      </c>
      <c r="B309" s="2" t="s">
        <v>496</v>
      </c>
      <c r="C309" s="3" t="n">
        <v>106118964</v>
      </c>
      <c r="D309" s="3"/>
      <c r="E309" s="3" t="n">
        <f aca="false">D309-C309</f>
        <v>-106118964</v>
      </c>
    </row>
    <row r="310" customFormat="false" ht="15" hidden="false" customHeight="false" outlineLevel="0" collapsed="false">
      <c r="A310" s="2" t="n">
        <v>202212220</v>
      </c>
      <c r="B310" s="2" t="s">
        <v>497</v>
      </c>
      <c r="C310" s="3" t="n">
        <v>2412031591</v>
      </c>
      <c r="D310" s="3"/>
      <c r="E310" s="3" t="n">
        <f aca="false">D310-C310</f>
        <v>-2412031591</v>
      </c>
    </row>
    <row r="311" customFormat="false" ht="15" hidden="false" customHeight="false" outlineLevel="0" collapsed="false">
      <c r="A311" s="2" t="n">
        <v>202212221</v>
      </c>
      <c r="B311" s="2" t="s">
        <v>498</v>
      </c>
      <c r="C311" s="3" t="n">
        <v>33489164</v>
      </c>
      <c r="D311" s="3"/>
      <c r="E311" s="3" t="n">
        <f aca="false">D311-C311</f>
        <v>-33489164</v>
      </c>
    </row>
    <row r="312" customFormat="false" ht="15" hidden="false" customHeight="false" outlineLevel="0" collapsed="false">
      <c r="A312" s="2" t="n">
        <v>202212230</v>
      </c>
      <c r="B312" s="2" t="s">
        <v>499</v>
      </c>
      <c r="C312" s="3" t="n">
        <v>425468035</v>
      </c>
      <c r="D312" s="3"/>
      <c r="E312" s="3" t="n">
        <f aca="false">D312-C312</f>
        <v>-425468035</v>
      </c>
    </row>
    <row r="313" customFormat="false" ht="15" hidden="false" customHeight="false" outlineLevel="0" collapsed="false">
      <c r="A313" s="2" t="n">
        <v>202212240</v>
      </c>
      <c r="B313" s="2" t="s">
        <v>500</v>
      </c>
      <c r="C313" s="3" t="n">
        <v>6226440</v>
      </c>
      <c r="D313" s="3"/>
      <c r="E313" s="3" t="n">
        <f aca="false">D313-C313</f>
        <v>-6226440</v>
      </c>
    </row>
    <row r="314" customFormat="false" ht="15" hidden="false" customHeight="false" outlineLevel="0" collapsed="false">
      <c r="A314" s="2" t="n">
        <v>202372000</v>
      </c>
      <c r="B314" s="2" t="s">
        <v>501</v>
      </c>
      <c r="C314" s="3"/>
      <c r="D314" s="3"/>
      <c r="E314" s="3" t="n">
        <f aca="false">D314-C314</f>
        <v>0</v>
      </c>
    </row>
    <row r="315" customFormat="false" ht="15" hidden="false" customHeight="false" outlineLevel="0" collapsed="false">
      <c r="A315" s="2" t="n">
        <v>203111000</v>
      </c>
      <c r="B315" s="2" t="s">
        <v>502</v>
      </c>
      <c r="C315" s="3" t="n">
        <v>74681762483</v>
      </c>
      <c r="D315" s="3"/>
      <c r="E315" s="3" t="n">
        <f aca="false">D315-C315</f>
        <v>-74681762483</v>
      </c>
    </row>
    <row r="316" customFormat="false" ht="15" hidden="false" customHeight="false" outlineLevel="0" collapsed="false">
      <c r="A316" s="2" t="n">
        <v>203111100</v>
      </c>
      <c r="B316" s="2" t="s">
        <v>503</v>
      </c>
      <c r="C316" s="3"/>
      <c r="D316" s="3"/>
      <c r="E316" s="3" t="n">
        <f aca="false">D316-C316</f>
        <v>0</v>
      </c>
    </row>
    <row r="317" customFormat="false" ht="15" hidden="false" customHeight="false" outlineLevel="0" collapsed="false">
      <c r="A317" s="2" t="n">
        <v>203121000</v>
      </c>
      <c r="B317" s="2" t="s">
        <v>504</v>
      </c>
      <c r="C317" s="3"/>
      <c r="D317" s="3"/>
      <c r="E317" s="3" t="n">
        <f aca="false">D317-C317</f>
        <v>0</v>
      </c>
    </row>
    <row r="318" customFormat="false" ht="15" hidden="false" customHeight="false" outlineLevel="0" collapsed="false">
      <c r="A318" s="2" t="n">
        <v>203121400</v>
      </c>
      <c r="B318" s="2" t="s">
        <v>505</v>
      </c>
      <c r="C318" s="3"/>
      <c r="D318" s="3"/>
      <c r="E318" s="3" t="n">
        <f aca="false">D318-C318</f>
        <v>0</v>
      </c>
    </row>
    <row r="319" customFormat="false" ht="15" hidden="false" customHeight="false" outlineLevel="0" collapsed="false">
      <c r="A319" s="2" t="n">
        <v>203122000</v>
      </c>
      <c r="B319" s="2" t="s">
        <v>506</v>
      </c>
      <c r="C319" s="3"/>
      <c r="D319" s="3"/>
      <c r="E319" s="3" t="n">
        <f aca="false">D319-C319</f>
        <v>0</v>
      </c>
    </row>
    <row r="320" customFormat="false" ht="15" hidden="false" customHeight="false" outlineLevel="0" collapsed="false">
      <c r="A320" s="2" t="n">
        <v>203710000</v>
      </c>
      <c r="B320" s="2" t="s">
        <v>501</v>
      </c>
      <c r="C320" s="3"/>
      <c r="D320" s="3"/>
      <c r="E320" s="3" t="n">
        <f aca="false">D320-C320</f>
        <v>0</v>
      </c>
    </row>
    <row r="321" customFormat="false" ht="15" hidden="false" customHeight="false" outlineLevel="0" collapsed="false">
      <c r="A321" s="2" t="n">
        <v>203720000</v>
      </c>
      <c r="B321" s="2" t="s">
        <v>507</v>
      </c>
      <c r="C321" s="3" t="n">
        <v>1741167628</v>
      </c>
      <c r="D321" s="3"/>
      <c r="E321" s="3" t="n">
        <f aca="false">D321-C321</f>
        <v>-1741167628</v>
      </c>
    </row>
    <row r="322" customFormat="false" ht="15" hidden="false" customHeight="false" outlineLevel="0" collapsed="false">
      <c r="A322" s="2" t="n">
        <v>204111000</v>
      </c>
      <c r="B322" s="2" t="s">
        <v>508</v>
      </c>
      <c r="C322" s="3" t="n">
        <v>9117299410</v>
      </c>
      <c r="D322" s="3"/>
      <c r="E322" s="3" t="n">
        <f aca="false">D322-C322</f>
        <v>-9117299410</v>
      </c>
    </row>
    <row r="323" customFormat="false" ht="15" hidden="false" customHeight="false" outlineLevel="0" collapsed="false">
      <c r="A323" s="2" t="n">
        <v>204112000</v>
      </c>
      <c r="B323" s="2" t="s">
        <v>509</v>
      </c>
      <c r="C323" s="3"/>
      <c r="D323" s="3" t="n">
        <v>501150</v>
      </c>
      <c r="E323" s="3" t="n">
        <f aca="false">D323-C323</f>
        <v>501150</v>
      </c>
    </row>
    <row r="324" customFormat="false" ht="15" hidden="false" customHeight="false" outlineLevel="0" collapsed="false">
      <c r="A324" s="2" t="n">
        <v>204710000</v>
      </c>
      <c r="B324" s="2" t="s">
        <v>510</v>
      </c>
      <c r="C324" s="3"/>
      <c r="D324" s="3"/>
      <c r="E324" s="3" t="n">
        <f aca="false">D324-C324</f>
        <v>0</v>
      </c>
    </row>
    <row r="325" customFormat="false" ht="15" hidden="false" customHeight="false" outlineLevel="0" collapsed="false">
      <c r="A325" s="2" t="n">
        <v>251111000</v>
      </c>
      <c r="B325" s="2" t="s">
        <v>511</v>
      </c>
      <c r="C325" s="3"/>
      <c r="D325" s="3" t="n">
        <v>15422457706</v>
      </c>
      <c r="E325" s="3" t="n">
        <f aca="false">D325-C325</f>
        <v>15422457706</v>
      </c>
    </row>
    <row r="326" customFormat="false" ht="15" hidden="false" customHeight="false" outlineLevel="0" collapsed="false">
      <c r="A326" s="2" t="n">
        <v>251112000</v>
      </c>
      <c r="B326" s="2" t="s">
        <v>512</v>
      </c>
      <c r="C326" s="3"/>
      <c r="D326" s="3" t="n">
        <v>146055305</v>
      </c>
      <c r="E326" s="3" t="n">
        <f aca="false">D326-C326</f>
        <v>146055305</v>
      </c>
    </row>
    <row r="327" customFormat="false" ht="15" hidden="false" customHeight="false" outlineLevel="0" collapsed="false">
      <c r="A327" s="2" t="n">
        <v>252113000</v>
      </c>
      <c r="B327" s="2" t="s">
        <v>513</v>
      </c>
      <c r="C327" s="3"/>
      <c r="D327" s="3" t="n">
        <v>188037000</v>
      </c>
      <c r="E327" s="3" t="n">
        <f aca="false">D327-C327</f>
        <v>188037000</v>
      </c>
    </row>
    <row r="328" customFormat="false" ht="15" hidden="false" customHeight="false" outlineLevel="0" collapsed="false">
      <c r="A328" s="2" t="n">
        <v>252123000</v>
      </c>
      <c r="B328" s="2" t="s">
        <v>514</v>
      </c>
      <c r="C328" s="3"/>
      <c r="D328" s="3" t="n">
        <v>268577009</v>
      </c>
      <c r="E328" s="3" t="n">
        <f aca="false">D328-C328</f>
        <v>268577009</v>
      </c>
    </row>
    <row r="329" customFormat="false" ht="15" hidden="false" customHeight="false" outlineLevel="0" collapsed="false">
      <c r="A329" s="2" t="n">
        <v>252130000</v>
      </c>
      <c r="B329" s="2" t="s">
        <v>515</v>
      </c>
      <c r="C329" s="3"/>
      <c r="D329" s="3" t="n">
        <v>611135000</v>
      </c>
      <c r="E329" s="3" t="n">
        <f aca="false">D329-C329</f>
        <v>611135000</v>
      </c>
    </row>
    <row r="330" customFormat="false" ht="15" hidden="false" customHeight="false" outlineLevel="0" collapsed="false">
      <c r="A330" s="2" t="n">
        <v>252150000</v>
      </c>
      <c r="B330" s="2" t="s">
        <v>516</v>
      </c>
      <c r="C330" s="3"/>
      <c r="D330" s="3" t="n">
        <v>3600000000</v>
      </c>
      <c r="E330" s="3" t="n">
        <f aca="false">D330-C330</f>
        <v>3600000000</v>
      </c>
    </row>
    <row r="331" customFormat="false" ht="15" hidden="false" customHeight="false" outlineLevel="0" collapsed="false">
      <c r="A331" s="2" t="n">
        <v>252600000</v>
      </c>
      <c r="B331" s="2" t="s">
        <v>517</v>
      </c>
      <c r="C331" s="3"/>
      <c r="D331" s="3" t="n">
        <v>119620262</v>
      </c>
      <c r="E331" s="3" t="n">
        <f aca="false">D331-C331</f>
        <v>119620262</v>
      </c>
    </row>
    <row r="332" customFormat="false" ht="15" hidden="false" customHeight="false" outlineLevel="0" collapsed="false">
      <c r="A332" s="2" t="n">
        <v>253911000</v>
      </c>
      <c r="B332" s="2" t="s">
        <v>518</v>
      </c>
      <c r="C332" s="3"/>
      <c r="D332" s="3" t="n">
        <v>8553713295</v>
      </c>
      <c r="E332" s="3" t="n">
        <f aca="false">D332-C332</f>
        <v>8553713295</v>
      </c>
    </row>
    <row r="333" customFormat="false" ht="15" hidden="false" customHeight="false" outlineLevel="0" collapsed="false">
      <c r="A333" s="2" t="n">
        <v>253912000</v>
      </c>
      <c r="B333" s="2" t="s">
        <v>519</v>
      </c>
      <c r="C333" s="3"/>
      <c r="D333" s="3" t="n">
        <v>1789000</v>
      </c>
      <c r="E333" s="3" t="n">
        <f aca="false">D333-C333</f>
        <v>1789000</v>
      </c>
    </row>
    <row r="334" customFormat="false" ht="15" hidden="false" customHeight="false" outlineLevel="0" collapsed="false">
      <c r="A334" s="2" t="n">
        <v>253913000</v>
      </c>
      <c r="B334" s="2" t="s">
        <v>520</v>
      </c>
      <c r="C334" s="3"/>
      <c r="D334" s="3"/>
      <c r="E334" s="3" t="n">
        <f aca="false">D334-C334</f>
        <v>0</v>
      </c>
    </row>
    <row r="335" customFormat="false" ht="15" hidden="false" customHeight="false" outlineLevel="0" collapsed="false">
      <c r="A335" s="2" t="n">
        <v>253914000</v>
      </c>
      <c r="B335" s="2" t="s">
        <v>521</v>
      </c>
      <c r="C335" s="3"/>
      <c r="D335" s="3" t="n">
        <v>1942866</v>
      </c>
      <c r="E335" s="3" t="n">
        <f aca="false">D335-C335</f>
        <v>1942866</v>
      </c>
    </row>
    <row r="336" customFormat="false" ht="15" hidden="false" customHeight="false" outlineLevel="0" collapsed="false">
      <c r="A336" s="2" t="n">
        <v>253915000</v>
      </c>
      <c r="B336" s="2" t="s">
        <v>522</v>
      </c>
      <c r="C336" s="3"/>
      <c r="D336" s="3" t="n">
        <v>440058517</v>
      </c>
      <c r="E336" s="3" t="n">
        <f aca="false">D336-C336</f>
        <v>440058517</v>
      </c>
    </row>
    <row r="337" customFormat="false" ht="15" hidden="false" customHeight="false" outlineLevel="0" collapsed="false">
      <c r="A337" s="2" t="n">
        <v>253916000</v>
      </c>
      <c r="B337" s="2" t="s">
        <v>523</v>
      </c>
      <c r="C337" s="3"/>
      <c r="D337" s="3" t="n">
        <v>5720000</v>
      </c>
      <c r="E337" s="3" t="n">
        <f aca="false">D337-C337</f>
        <v>5720000</v>
      </c>
    </row>
    <row r="338" customFormat="false" ht="15" hidden="false" customHeight="false" outlineLevel="0" collapsed="false">
      <c r="A338" s="2" t="n">
        <v>254530000</v>
      </c>
      <c r="B338" s="2" t="s">
        <v>524</v>
      </c>
      <c r="C338" s="3"/>
      <c r="D338" s="3" t="n">
        <v>14335201389</v>
      </c>
      <c r="E338" s="3" t="n">
        <f aca="false">D338-C338</f>
        <v>14335201389</v>
      </c>
    </row>
    <row r="339" customFormat="false" ht="15" hidden="false" customHeight="false" outlineLevel="0" collapsed="false">
      <c r="A339" s="2" t="n">
        <v>254600000</v>
      </c>
      <c r="B339" s="2" t="s">
        <v>525</v>
      </c>
      <c r="C339" s="3" t="n">
        <v>27385735</v>
      </c>
      <c r="D339" s="3"/>
      <c r="E339" s="3" t="n">
        <f aca="false">D339-C339</f>
        <v>-27385735</v>
      </c>
    </row>
    <row r="340" customFormat="false" ht="15" hidden="false" customHeight="false" outlineLevel="0" collapsed="false">
      <c r="A340" s="2" t="n">
        <v>291100000</v>
      </c>
      <c r="B340" s="2" t="s">
        <v>526</v>
      </c>
      <c r="C340" s="3" t="n">
        <v>1266538</v>
      </c>
      <c r="D340" s="3"/>
      <c r="E340" s="3" t="n">
        <f aca="false">D340-C340</f>
        <v>-1266538</v>
      </c>
    </row>
    <row r="341" customFormat="false" ht="15" hidden="false" customHeight="false" outlineLevel="0" collapsed="false">
      <c r="A341" s="2" t="n">
        <v>291200000</v>
      </c>
      <c r="B341" s="2" t="s">
        <v>527</v>
      </c>
      <c r="C341" s="3" t="n">
        <v>7801301862</v>
      </c>
      <c r="D341" s="3"/>
      <c r="E341" s="3" t="n">
        <f aca="false">D341-C341</f>
        <v>-7801301862</v>
      </c>
    </row>
    <row r="342" customFormat="false" ht="15" hidden="false" customHeight="false" outlineLevel="0" collapsed="false">
      <c r="A342" s="2" t="n">
        <v>291300000</v>
      </c>
      <c r="B342" s="2" t="s">
        <v>528</v>
      </c>
      <c r="C342" s="3"/>
      <c r="D342" s="3" t="n">
        <v>1254330</v>
      </c>
      <c r="E342" s="3" t="n">
        <f aca="false">D342-C342</f>
        <v>1254330</v>
      </c>
    </row>
    <row r="343" customFormat="false" ht="15" hidden="false" customHeight="false" outlineLevel="0" collapsed="false">
      <c r="A343" s="2" t="n">
        <v>291400000</v>
      </c>
      <c r="B343" s="2" t="s">
        <v>529</v>
      </c>
      <c r="C343" s="3" t="n">
        <v>64</v>
      </c>
      <c r="D343" s="3"/>
      <c r="E343" s="3" t="n">
        <f aca="false">D343-C343</f>
        <v>-64</v>
      </c>
    </row>
    <row r="344" customFormat="false" ht="15" hidden="false" customHeight="false" outlineLevel="0" collapsed="false">
      <c r="A344" s="2" t="n">
        <v>292100000</v>
      </c>
      <c r="B344" s="2" t="s">
        <v>530</v>
      </c>
      <c r="C344" s="3" t="n">
        <v>4797759</v>
      </c>
      <c r="D344" s="3"/>
      <c r="E344" s="3" t="n">
        <f aca="false">D344-C344</f>
        <v>-4797759</v>
      </c>
    </row>
    <row r="345" customFormat="false" ht="15" hidden="false" customHeight="false" outlineLevel="0" collapsed="false">
      <c r="A345" s="2" t="n">
        <v>292200000</v>
      </c>
      <c r="B345" s="2" t="s">
        <v>531</v>
      </c>
      <c r="C345" s="3" t="n">
        <v>1924236350</v>
      </c>
      <c r="D345" s="3"/>
      <c r="E345" s="3" t="n">
        <f aca="false">D345-C345</f>
        <v>-1924236350</v>
      </c>
    </row>
    <row r="346" customFormat="false" ht="15" hidden="false" customHeight="false" outlineLevel="0" collapsed="false">
      <c r="A346" s="2" t="n">
        <v>293000000</v>
      </c>
      <c r="B346" s="2" t="s">
        <v>532</v>
      </c>
      <c r="C346" s="3" t="n">
        <v>2595374901</v>
      </c>
      <c r="D346" s="3"/>
      <c r="E346" s="3" t="n">
        <f aca="false">D346-C346</f>
        <v>-2595374901</v>
      </c>
    </row>
    <row r="347" customFormat="false" ht="15" hidden="false" customHeight="false" outlineLevel="0" collapsed="false">
      <c r="A347" s="2" t="n">
        <v>294000000</v>
      </c>
      <c r="B347" s="2" t="s">
        <v>533</v>
      </c>
      <c r="C347" s="3" t="n">
        <v>3139716240</v>
      </c>
      <c r="D347" s="3"/>
      <c r="E347" s="3" t="n">
        <f aca="false">D347-C347</f>
        <v>-3139716240</v>
      </c>
    </row>
    <row r="348" customFormat="false" ht="15" hidden="false" customHeight="false" outlineLevel="0" collapsed="false">
      <c r="A348" s="2" t="n">
        <v>299120000</v>
      </c>
      <c r="B348" s="2" t="s">
        <v>534</v>
      </c>
      <c r="C348" s="3"/>
      <c r="D348" s="3" t="n">
        <v>769694526</v>
      </c>
      <c r="E348" s="3" t="n">
        <f aca="false">D348-C348</f>
        <v>769694526</v>
      </c>
    </row>
    <row r="349" customFormat="false" ht="15" hidden="false" customHeight="false" outlineLevel="0" collapsed="false">
      <c r="A349" s="2" t="n">
        <v>299121000</v>
      </c>
      <c r="B349" s="2" t="s">
        <v>535</v>
      </c>
      <c r="C349" s="3" t="n">
        <v>41</v>
      </c>
      <c r="D349" s="3"/>
      <c r="E349" s="3" t="n">
        <f aca="false">D349-C349</f>
        <v>-41</v>
      </c>
    </row>
    <row r="350" customFormat="false" ht="15" hidden="false" customHeight="false" outlineLevel="0" collapsed="false">
      <c r="A350" s="2" t="n">
        <v>299200000</v>
      </c>
      <c r="B350" s="2" t="s">
        <v>536</v>
      </c>
      <c r="C350" s="3"/>
      <c r="D350" s="3" t="n">
        <v>2076299986</v>
      </c>
      <c r="E350" s="3" t="n">
        <f aca="false">D350-C350</f>
        <v>2076299986</v>
      </c>
    </row>
    <row r="351" customFormat="false" ht="15" hidden="false" customHeight="false" outlineLevel="0" collapsed="false">
      <c r="A351" s="2" t="n">
        <v>299210000</v>
      </c>
      <c r="B351" s="2" t="s">
        <v>537</v>
      </c>
      <c r="C351" s="3" t="n">
        <v>39</v>
      </c>
      <c r="D351" s="3"/>
      <c r="E351" s="3" t="n">
        <f aca="false">D351-C351</f>
        <v>-39</v>
      </c>
    </row>
    <row r="352" customFormat="false" ht="15" hidden="false" customHeight="false" outlineLevel="0" collapsed="false">
      <c r="A352" s="2" t="n">
        <v>299220000</v>
      </c>
      <c r="B352" s="2" t="s">
        <v>538</v>
      </c>
      <c r="C352" s="3"/>
      <c r="D352" s="3"/>
      <c r="E352" s="3" t="n">
        <f aca="false">D352-C352</f>
        <v>0</v>
      </c>
    </row>
    <row r="353" customFormat="false" ht="15" hidden="false" customHeight="false" outlineLevel="0" collapsed="false">
      <c r="A353" s="2" t="n">
        <v>299300000</v>
      </c>
      <c r="B353" s="2" t="s">
        <v>539</v>
      </c>
      <c r="C353" s="3"/>
      <c r="D353" s="3" t="n">
        <v>3145809633</v>
      </c>
      <c r="E353" s="3" t="n">
        <f aca="false">D353-C353</f>
        <v>3145809633</v>
      </c>
    </row>
    <row r="354" customFormat="false" ht="15" hidden="false" customHeight="false" outlineLevel="0" collapsed="false">
      <c r="A354" s="2" t="n">
        <v>299310000</v>
      </c>
      <c r="B354" s="2" t="s">
        <v>540</v>
      </c>
      <c r="C354" s="3" t="n">
        <v>44</v>
      </c>
      <c r="D354" s="3"/>
      <c r="E354" s="3" t="n">
        <f aca="false">D354-C354</f>
        <v>-44</v>
      </c>
    </row>
    <row r="355" customFormat="false" ht="15" hidden="false" customHeight="false" outlineLevel="0" collapsed="false">
      <c r="A355" s="2" t="n">
        <v>301000000</v>
      </c>
      <c r="B355" s="2" t="s">
        <v>541</v>
      </c>
      <c r="C355" s="3" t="n">
        <v>500000000</v>
      </c>
      <c r="D355" s="3"/>
      <c r="E355" s="3" t="n">
        <f aca="false">D355-C355</f>
        <v>-500000000</v>
      </c>
    </row>
    <row r="356" customFormat="false" ht="15" hidden="false" customHeight="false" outlineLevel="0" collapsed="false">
      <c r="A356" s="2" t="n">
        <v>307000000</v>
      </c>
      <c r="B356" s="2" t="s">
        <v>542</v>
      </c>
      <c r="C356" s="3" t="n">
        <v>7684931</v>
      </c>
      <c r="D356" s="3"/>
      <c r="E356" s="3" t="n">
        <f aca="false">D356-C356</f>
        <v>-7684931</v>
      </c>
    </row>
    <row r="357" customFormat="false" ht="15" hidden="false" customHeight="false" outlineLevel="0" collapsed="false">
      <c r="A357" s="2" t="n">
        <v>322100000</v>
      </c>
      <c r="B357" s="2" t="s">
        <v>543</v>
      </c>
      <c r="C357" s="3" t="n">
        <v>605000</v>
      </c>
      <c r="D357" s="3"/>
      <c r="E357" s="3" t="n">
        <f aca="false">D357-C357</f>
        <v>-605000</v>
      </c>
    </row>
    <row r="358" customFormat="false" ht="15" hidden="false" customHeight="false" outlineLevel="0" collapsed="false">
      <c r="A358" s="2" t="n">
        <v>322900000</v>
      </c>
      <c r="B358" s="2" t="s">
        <v>544</v>
      </c>
      <c r="C358" s="3"/>
      <c r="D358" s="3"/>
      <c r="E358" s="3" t="n">
        <f aca="false">D358-C358</f>
        <v>0</v>
      </c>
    </row>
    <row r="359" customFormat="false" ht="15" hidden="false" customHeight="false" outlineLevel="0" collapsed="false">
      <c r="A359" s="2" t="n">
        <v>331210000</v>
      </c>
      <c r="B359" s="2" t="s">
        <v>545</v>
      </c>
      <c r="C359" s="3" t="n">
        <v>37269236</v>
      </c>
      <c r="D359" s="3"/>
      <c r="E359" s="3" t="n">
        <f aca="false">D359-C359</f>
        <v>-37269236</v>
      </c>
    </row>
    <row r="360" customFormat="false" ht="15" hidden="false" customHeight="false" outlineLevel="0" collapsed="false">
      <c r="A360" s="2" t="n">
        <v>331210010</v>
      </c>
      <c r="B360" s="2" t="s">
        <v>546</v>
      </c>
      <c r="C360" s="3" t="n">
        <v>118735000</v>
      </c>
      <c r="D360" s="3"/>
      <c r="E360" s="3" t="n">
        <f aca="false">D360-C360</f>
        <v>-118735000</v>
      </c>
    </row>
    <row r="361" customFormat="false" ht="15" hidden="false" customHeight="false" outlineLevel="0" collapsed="false">
      <c r="A361" s="2" t="n">
        <v>331210020</v>
      </c>
      <c r="B361" s="2" t="s">
        <v>547</v>
      </c>
      <c r="C361" s="3" t="n">
        <v>18569333</v>
      </c>
      <c r="D361" s="3"/>
      <c r="E361" s="3" t="n">
        <f aca="false">D361-C361</f>
        <v>-18569333</v>
      </c>
    </row>
    <row r="362" customFormat="false" ht="15" hidden="false" customHeight="false" outlineLevel="0" collapsed="false">
      <c r="A362" s="2" t="n">
        <v>331210030</v>
      </c>
      <c r="B362" s="2" t="s">
        <v>548</v>
      </c>
      <c r="C362" s="3" t="n">
        <v>32486000</v>
      </c>
      <c r="D362" s="3"/>
      <c r="E362" s="3" t="n">
        <f aca="false">D362-C362</f>
        <v>-32486000</v>
      </c>
    </row>
    <row r="363" customFormat="false" ht="15" hidden="false" customHeight="false" outlineLevel="0" collapsed="false">
      <c r="A363" s="2" t="n">
        <v>331210040</v>
      </c>
      <c r="B363" s="2" t="s">
        <v>549</v>
      </c>
      <c r="C363" s="3" t="n">
        <v>43153394</v>
      </c>
      <c r="D363" s="3"/>
      <c r="E363" s="3" t="n">
        <f aca="false">D363-C363</f>
        <v>-43153394</v>
      </c>
    </row>
    <row r="364" customFormat="false" ht="15" hidden="false" customHeight="false" outlineLevel="0" collapsed="false">
      <c r="A364" s="2" t="n">
        <v>331211000</v>
      </c>
      <c r="B364" s="2" t="s">
        <v>550</v>
      </c>
      <c r="C364" s="3" t="n">
        <v>65984301</v>
      </c>
      <c r="D364" s="3"/>
      <c r="E364" s="3" t="n">
        <f aca="false">D364-C364</f>
        <v>-65984301</v>
      </c>
    </row>
    <row r="365" customFormat="false" ht="15" hidden="false" customHeight="false" outlineLevel="0" collapsed="false">
      <c r="A365" s="2" t="n">
        <v>331300000</v>
      </c>
      <c r="B365" s="2" t="s">
        <v>551</v>
      </c>
      <c r="C365" s="3"/>
      <c r="D365" s="3"/>
      <c r="E365" s="3" t="n">
        <f aca="false">D365-C365</f>
        <v>0</v>
      </c>
    </row>
    <row r="366" customFormat="false" ht="15" hidden="false" customHeight="false" outlineLevel="0" collapsed="false">
      <c r="A366" s="2" t="n">
        <v>331410000</v>
      </c>
      <c r="B366" s="2" t="s">
        <v>552</v>
      </c>
      <c r="C366" s="3" t="n">
        <v>4972809</v>
      </c>
      <c r="D366" s="3"/>
      <c r="E366" s="3" t="n">
        <f aca="false">D366-C366</f>
        <v>-4972809</v>
      </c>
    </row>
    <row r="367" customFormat="false" ht="15" hidden="false" customHeight="false" outlineLevel="0" collapsed="false">
      <c r="A367" s="2" t="n">
        <v>331610000</v>
      </c>
      <c r="B367" s="2" t="s">
        <v>553</v>
      </c>
      <c r="C367" s="3"/>
      <c r="D367" s="3" t="n">
        <v>49951</v>
      </c>
      <c r="E367" s="3" t="n">
        <f aca="false">D367-C367</f>
        <v>49951</v>
      </c>
    </row>
    <row r="368" customFormat="false" ht="15" hidden="false" customHeight="false" outlineLevel="0" collapsed="false">
      <c r="A368" s="2" t="n">
        <v>331620000</v>
      </c>
      <c r="B368" s="2" t="s">
        <v>554</v>
      </c>
      <c r="C368" s="3"/>
      <c r="D368" s="3" t="n">
        <v>1517078</v>
      </c>
      <c r="E368" s="3" t="n">
        <f aca="false">D368-C368</f>
        <v>1517078</v>
      </c>
    </row>
    <row r="369" customFormat="false" ht="15" hidden="false" customHeight="false" outlineLevel="0" collapsed="false">
      <c r="A369" s="2" t="n">
        <v>331630000</v>
      </c>
      <c r="B369" s="2" t="s">
        <v>555</v>
      </c>
      <c r="C369" s="3"/>
      <c r="D369" s="3"/>
      <c r="E369" s="3" t="n">
        <f aca="false">D369-C369</f>
        <v>0</v>
      </c>
    </row>
    <row r="370" customFormat="false" ht="15" hidden="false" customHeight="false" outlineLevel="0" collapsed="false">
      <c r="A370" s="2" t="n">
        <v>331641000</v>
      </c>
      <c r="B370" s="2" t="s">
        <v>556</v>
      </c>
      <c r="C370" s="3"/>
      <c r="D370" s="3"/>
      <c r="E370" s="3" t="n">
        <f aca="false">D370-C370</f>
        <v>0</v>
      </c>
    </row>
    <row r="371" customFormat="false" ht="15" hidden="false" customHeight="false" outlineLevel="0" collapsed="false">
      <c r="A371" s="2" t="n">
        <v>331642000</v>
      </c>
      <c r="B371" s="2" t="s">
        <v>557</v>
      </c>
      <c r="C371" s="3"/>
      <c r="D371" s="3"/>
      <c r="E371" s="3" t="n">
        <f aca="false">D371-C371</f>
        <v>0</v>
      </c>
    </row>
    <row r="372" customFormat="false" ht="15" hidden="false" customHeight="false" outlineLevel="0" collapsed="false">
      <c r="A372" s="2" t="n">
        <v>331643000</v>
      </c>
      <c r="B372" s="2" t="s">
        <v>558</v>
      </c>
      <c r="C372" s="3" t="n">
        <v>1</v>
      </c>
      <c r="D372" s="3"/>
      <c r="E372" s="3" t="n">
        <f aca="false">D372-C372</f>
        <v>-1</v>
      </c>
    </row>
    <row r="373" customFormat="false" ht="15" hidden="false" customHeight="false" outlineLevel="0" collapsed="false">
      <c r="A373" s="2" t="n">
        <v>331644000</v>
      </c>
      <c r="B373" s="2" t="s">
        <v>559</v>
      </c>
      <c r="C373" s="3"/>
      <c r="D373" s="3" t="n">
        <v>384148996</v>
      </c>
      <c r="E373" s="3" t="n">
        <f aca="false">D373-C373</f>
        <v>384148996</v>
      </c>
    </row>
    <row r="374" customFormat="false" ht="15" hidden="false" customHeight="false" outlineLevel="0" collapsed="false">
      <c r="A374" s="2" t="n">
        <v>331644100</v>
      </c>
      <c r="B374" s="2" t="s">
        <v>560</v>
      </c>
      <c r="C374" s="3" t="n">
        <v>594581194</v>
      </c>
      <c r="D374" s="3"/>
      <c r="E374" s="3" t="n">
        <f aca="false">D374-C374</f>
        <v>-594581194</v>
      </c>
    </row>
    <row r="375" customFormat="false" ht="15" hidden="false" customHeight="false" outlineLevel="0" collapsed="false">
      <c r="A375" s="2" t="n">
        <v>331645000</v>
      </c>
      <c r="B375" s="2" t="s">
        <v>561</v>
      </c>
      <c r="C375" s="3"/>
      <c r="D375" s="3"/>
      <c r="E375" s="3" t="n">
        <f aca="false">D375-C375</f>
        <v>0</v>
      </c>
    </row>
    <row r="376" customFormat="false" ht="15" hidden="false" customHeight="false" outlineLevel="0" collapsed="false">
      <c r="A376" s="2" t="n">
        <v>331645100</v>
      </c>
      <c r="B376" s="2" t="s">
        <v>562</v>
      </c>
      <c r="C376" s="3" t="n">
        <v>91765699</v>
      </c>
      <c r="D376" s="3"/>
      <c r="E376" s="3" t="n">
        <f aca="false">D376-C376</f>
        <v>-91765699</v>
      </c>
    </row>
    <row r="377" customFormat="false" ht="15" hidden="false" customHeight="false" outlineLevel="0" collapsed="false">
      <c r="A377" s="2" t="n">
        <v>331645200</v>
      </c>
      <c r="B377" s="2" t="s">
        <v>563</v>
      </c>
      <c r="C377" s="3" t="n">
        <v>264182759</v>
      </c>
      <c r="D377" s="3"/>
      <c r="E377" s="3" t="n">
        <f aca="false">D377-C377</f>
        <v>-264182759</v>
      </c>
    </row>
    <row r="378" customFormat="false" ht="15" hidden="false" customHeight="false" outlineLevel="0" collapsed="false">
      <c r="A378" s="2" t="n">
        <v>331650000</v>
      </c>
      <c r="B378" s="2" t="s">
        <v>564</v>
      </c>
      <c r="C378" s="3"/>
      <c r="D378" s="3"/>
      <c r="E378" s="3" t="n">
        <f aca="false">D378-C378</f>
        <v>0</v>
      </c>
    </row>
    <row r="379" customFormat="false" ht="15" hidden="false" customHeight="false" outlineLevel="0" collapsed="false">
      <c r="A379" s="2" t="n">
        <v>331660000</v>
      </c>
      <c r="B379" s="2" t="s">
        <v>565</v>
      </c>
      <c r="C379" s="3" t="n">
        <v>1841979025</v>
      </c>
      <c r="D379" s="3"/>
      <c r="E379" s="3" t="n">
        <f aca="false">D379-C379</f>
        <v>-1841979025</v>
      </c>
    </row>
    <row r="380" customFormat="false" ht="15" hidden="false" customHeight="false" outlineLevel="0" collapsed="false">
      <c r="A380" s="2" t="n">
        <v>331662000</v>
      </c>
      <c r="B380" s="2" t="s">
        <v>566</v>
      </c>
      <c r="C380" s="3"/>
      <c r="D380" s="3"/>
      <c r="E380" s="3" t="n">
        <f aca="false">D380-C380</f>
        <v>0</v>
      </c>
    </row>
    <row r="381" customFormat="false" ht="15" hidden="false" customHeight="false" outlineLevel="0" collapsed="false">
      <c r="A381" s="2" t="n">
        <v>331663000</v>
      </c>
      <c r="B381" s="2" t="s">
        <v>567</v>
      </c>
      <c r="C381" s="3" t="n">
        <v>53658656</v>
      </c>
      <c r="D381" s="3"/>
      <c r="E381" s="3" t="n">
        <f aca="false">D381-C381</f>
        <v>-53658656</v>
      </c>
    </row>
    <row r="382" customFormat="false" ht="15" hidden="false" customHeight="false" outlineLevel="0" collapsed="false">
      <c r="A382" s="2" t="n">
        <v>331664000</v>
      </c>
      <c r="B382" s="2" t="s">
        <v>568</v>
      </c>
      <c r="C382" s="3"/>
      <c r="D382" s="3"/>
      <c r="E382" s="3" t="n">
        <f aca="false">D382-C382</f>
        <v>0</v>
      </c>
    </row>
    <row r="383" customFormat="false" ht="15" hidden="false" customHeight="false" outlineLevel="0" collapsed="false">
      <c r="A383" s="2" t="n">
        <v>331680000</v>
      </c>
      <c r="B383" s="2" t="s">
        <v>569</v>
      </c>
      <c r="C383" s="3"/>
      <c r="D383" s="3"/>
      <c r="E383" s="3" t="n">
        <f aca="false">D383-C383</f>
        <v>0</v>
      </c>
    </row>
    <row r="384" customFormat="false" ht="15" hidden="false" customHeight="false" outlineLevel="0" collapsed="false">
      <c r="A384" s="2" t="n">
        <v>331690000</v>
      </c>
      <c r="B384" s="2" t="s">
        <v>570</v>
      </c>
      <c r="C384" s="3"/>
      <c r="D384" s="3"/>
      <c r="E384" s="3" t="n">
        <f aca="false">D384-C384</f>
        <v>0</v>
      </c>
    </row>
    <row r="385" customFormat="false" ht="15" hidden="false" customHeight="false" outlineLevel="0" collapsed="false">
      <c r="A385" s="2" t="n">
        <v>331691000</v>
      </c>
      <c r="B385" s="2" t="s">
        <v>571</v>
      </c>
      <c r="C385" s="3"/>
      <c r="D385" s="3"/>
      <c r="E385" s="3" t="n">
        <f aca="false">D385-C385</f>
        <v>0</v>
      </c>
    </row>
    <row r="386" customFormat="false" ht="15" hidden="false" customHeight="false" outlineLevel="0" collapsed="false">
      <c r="A386" s="2" t="n">
        <v>331692000</v>
      </c>
      <c r="B386" s="2" t="s">
        <v>572</v>
      </c>
      <c r="C386" s="3" t="n">
        <v>1566828</v>
      </c>
      <c r="D386" s="3"/>
      <c r="E386" s="3" t="n">
        <f aca="false">D386-C386</f>
        <v>-1566828</v>
      </c>
    </row>
    <row r="387" customFormat="false" ht="15" hidden="false" customHeight="false" outlineLevel="0" collapsed="false">
      <c r="A387" s="2" t="n">
        <v>331693000</v>
      </c>
      <c r="B387" s="2" t="s">
        <v>573</v>
      </c>
      <c r="C387" s="3"/>
      <c r="D387" s="3"/>
      <c r="E387" s="3" t="n">
        <f aca="false">D387-C387</f>
        <v>0</v>
      </c>
    </row>
    <row r="388" customFormat="false" ht="15" hidden="false" customHeight="false" outlineLevel="0" collapsed="false">
      <c r="A388" s="2" t="n">
        <v>331694000</v>
      </c>
      <c r="B388" s="2" t="s">
        <v>574</v>
      </c>
      <c r="C388" s="3"/>
      <c r="D388" s="3"/>
      <c r="E388" s="3" t="n">
        <f aca="false">D388-C388</f>
        <v>0</v>
      </c>
    </row>
    <row r="389" customFormat="false" ht="15" hidden="false" customHeight="false" outlineLevel="0" collapsed="false">
      <c r="A389" s="2" t="n">
        <v>331695000</v>
      </c>
      <c r="B389" s="2" t="s">
        <v>575</v>
      </c>
      <c r="C389" s="3"/>
      <c r="D389" s="3"/>
      <c r="E389" s="3" t="n">
        <f aca="false">D389-C389</f>
        <v>0</v>
      </c>
    </row>
    <row r="390" customFormat="false" ht="15" hidden="false" customHeight="false" outlineLevel="0" collapsed="false">
      <c r="A390" s="2" t="n">
        <v>331695100</v>
      </c>
      <c r="B390" s="2" t="s">
        <v>576</v>
      </c>
      <c r="C390" s="3"/>
      <c r="D390" s="3"/>
      <c r="E390" s="3" t="n">
        <f aca="false">D390-C390</f>
        <v>0</v>
      </c>
    </row>
    <row r="391" customFormat="false" ht="15" hidden="false" customHeight="false" outlineLevel="0" collapsed="false">
      <c r="A391" s="2" t="n">
        <v>331695200</v>
      </c>
      <c r="B391" s="2" t="s">
        <v>577</v>
      </c>
      <c r="C391" s="3" t="n">
        <v>13832500</v>
      </c>
      <c r="D391" s="3"/>
      <c r="E391" s="3" t="n">
        <f aca="false">D391-C391</f>
        <v>-13832500</v>
      </c>
    </row>
    <row r="392" customFormat="false" ht="15" hidden="false" customHeight="false" outlineLevel="0" collapsed="false">
      <c r="A392" s="2" t="n">
        <v>331695300</v>
      </c>
      <c r="B392" s="2" t="s">
        <v>578</v>
      </c>
      <c r="C392" s="3" t="n">
        <v>2567225</v>
      </c>
      <c r="D392" s="3"/>
      <c r="E392" s="3" t="n">
        <f aca="false">D392-C392</f>
        <v>-2567225</v>
      </c>
    </row>
    <row r="393" customFormat="false" ht="15" hidden="false" customHeight="false" outlineLevel="0" collapsed="false">
      <c r="A393" s="2" t="n">
        <v>331696000</v>
      </c>
      <c r="B393" s="2" t="s">
        <v>579</v>
      </c>
      <c r="C393" s="3" t="n">
        <v>62030087</v>
      </c>
      <c r="D393" s="3"/>
      <c r="E393" s="3" t="n">
        <f aca="false">D393-C393</f>
        <v>-62030087</v>
      </c>
    </row>
    <row r="394" customFormat="false" ht="15" hidden="false" customHeight="false" outlineLevel="0" collapsed="false">
      <c r="A394" s="2" t="n">
        <v>331697000</v>
      </c>
      <c r="B394" s="2" t="s">
        <v>580</v>
      </c>
      <c r="C394" s="3" t="n">
        <v>738374</v>
      </c>
      <c r="D394" s="3"/>
      <c r="E394" s="3" t="n">
        <f aca="false">D394-C394</f>
        <v>-738374</v>
      </c>
    </row>
    <row r="395" customFormat="false" ht="15" hidden="false" customHeight="false" outlineLevel="0" collapsed="false">
      <c r="A395" s="2" t="n">
        <v>331698000</v>
      </c>
      <c r="B395" s="2" t="s">
        <v>581</v>
      </c>
      <c r="C395" s="3" t="n">
        <v>774214</v>
      </c>
      <c r="D395" s="3"/>
      <c r="E395" s="3" t="n">
        <f aca="false">D395-C395</f>
        <v>-774214</v>
      </c>
    </row>
    <row r="396" customFormat="false" ht="15" hidden="false" customHeight="false" outlineLevel="0" collapsed="false">
      <c r="A396" s="2" t="n">
        <v>331910000</v>
      </c>
      <c r="B396" s="2" t="s">
        <v>582</v>
      </c>
      <c r="C396" s="3" t="n">
        <v>100872384</v>
      </c>
      <c r="D396" s="3"/>
      <c r="E396" s="3" t="n">
        <f aca="false">D396-C396</f>
        <v>-100872384</v>
      </c>
    </row>
    <row r="397" customFormat="false" ht="15" hidden="false" customHeight="false" outlineLevel="0" collapsed="false">
      <c r="A397" s="2" t="n">
        <v>331990000</v>
      </c>
      <c r="B397" s="2" t="s">
        <v>583</v>
      </c>
      <c r="C397" s="3"/>
      <c r="D397" s="3" t="n">
        <v>383369754</v>
      </c>
      <c r="E397" s="3" t="n">
        <f aca="false">D397-C397</f>
        <v>383369754</v>
      </c>
    </row>
    <row r="398" customFormat="false" ht="15" hidden="false" customHeight="false" outlineLevel="0" collapsed="false">
      <c r="A398" s="2" t="n">
        <v>332110000</v>
      </c>
      <c r="B398" s="2" t="s">
        <v>584</v>
      </c>
      <c r="C398" s="3"/>
      <c r="D398" s="3"/>
      <c r="E398" s="3" t="n">
        <f aca="false">D398-C398</f>
        <v>0</v>
      </c>
    </row>
    <row r="399" customFormat="false" ht="15" hidden="false" customHeight="false" outlineLevel="0" collapsed="false">
      <c r="A399" s="2" t="n">
        <v>332120000</v>
      </c>
      <c r="B399" s="2" t="s">
        <v>585</v>
      </c>
      <c r="C399" s="3"/>
      <c r="D399" s="3"/>
      <c r="E399" s="3" t="n">
        <f aca="false">D399-C399</f>
        <v>0</v>
      </c>
    </row>
    <row r="400" customFormat="false" ht="15" hidden="false" customHeight="false" outlineLevel="0" collapsed="false">
      <c r="A400" s="2" t="n">
        <v>332130000</v>
      </c>
      <c r="B400" s="2" t="s">
        <v>586</v>
      </c>
      <c r="C400" s="3"/>
      <c r="D400" s="3"/>
      <c r="E400" s="3" t="n">
        <f aca="false">D400-C400</f>
        <v>0</v>
      </c>
    </row>
    <row r="401" customFormat="false" ht="15" hidden="false" customHeight="false" outlineLevel="0" collapsed="false">
      <c r="A401" s="2" t="n">
        <v>332140000</v>
      </c>
      <c r="B401" s="2" t="s">
        <v>587</v>
      </c>
      <c r="C401" s="3"/>
      <c r="D401" s="3"/>
      <c r="E401" s="3" t="n">
        <f aca="false">D401-C401</f>
        <v>0</v>
      </c>
    </row>
    <row r="402" customFormat="false" ht="15" hidden="false" customHeight="false" outlineLevel="0" collapsed="false">
      <c r="A402" s="2" t="n">
        <v>332210000</v>
      </c>
      <c r="B402" s="2" t="s">
        <v>588</v>
      </c>
      <c r="C402" s="3" t="n">
        <v>9934525</v>
      </c>
      <c r="D402" s="3"/>
      <c r="E402" s="3" t="n">
        <f aca="false">D402-C402</f>
        <v>-9934525</v>
      </c>
    </row>
    <row r="403" customFormat="false" ht="15" hidden="false" customHeight="false" outlineLevel="0" collapsed="false">
      <c r="A403" s="2" t="n">
        <v>332220000</v>
      </c>
      <c r="B403" s="2" t="s">
        <v>589</v>
      </c>
      <c r="C403" s="3"/>
      <c r="D403" s="3"/>
      <c r="E403" s="3" t="n">
        <f aca="false">D403-C403</f>
        <v>0</v>
      </c>
    </row>
    <row r="404" customFormat="false" ht="15" hidden="false" customHeight="false" outlineLevel="0" collapsed="false">
      <c r="A404" s="2" t="n">
        <v>332230000</v>
      </c>
      <c r="B404" s="2" t="s">
        <v>590</v>
      </c>
      <c r="C404" s="3"/>
      <c r="D404" s="3" t="n">
        <v>26317698</v>
      </c>
      <c r="E404" s="3" t="n">
        <f aca="false">D404-C404</f>
        <v>26317698</v>
      </c>
    </row>
    <row r="405" customFormat="false" ht="15" hidden="false" customHeight="false" outlineLevel="0" collapsed="false">
      <c r="A405" s="2" t="n">
        <v>332240000</v>
      </c>
      <c r="B405" s="2" t="s">
        <v>591</v>
      </c>
      <c r="C405" s="3"/>
      <c r="D405" s="3"/>
      <c r="E405" s="3" t="n">
        <f aca="false">D405-C405</f>
        <v>0</v>
      </c>
    </row>
    <row r="406" customFormat="false" ht="15" hidden="false" customHeight="false" outlineLevel="0" collapsed="false">
      <c r="A406" s="2" t="n">
        <v>332250000</v>
      </c>
      <c r="B406" s="2" t="s">
        <v>592</v>
      </c>
      <c r="C406" s="3"/>
      <c r="D406" s="3" t="n">
        <v>55542184</v>
      </c>
      <c r="E406" s="3" t="n">
        <f aca="false">D406-C406</f>
        <v>55542184</v>
      </c>
    </row>
    <row r="407" customFormat="false" ht="15" hidden="false" customHeight="false" outlineLevel="0" collapsed="false">
      <c r="A407" s="2" t="n">
        <v>332260000</v>
      </c>
      <c r="B407" s="2" t="s">
        <v>593</v>
      </c>
      <c r="C407" s="3"/>
      <c r="D407" s="3" t="n">
        <v>198754340</v>
      </c>
      <c r="E407" s="3" t="n">
        <f aca="false">D407-C407</f>
        <v>198754340</v>
      </c>
    </row>
    <row r="408" customFormat="false" ht="15" hidden="false" customHeight="false" outlineLevel="0" collapsed="false">
      <c r="A408" s="2" t="n">
        <v>332270000</v>
      </c>
      <c r="B408" s="2" t="s">
        <v>594</v>
      </c>
      <c r="C408" s="3"/>
      <c r="D408" s="3" t="n">
        <v>15357342</v>
      </c>
      <c r="E408" s="3" t="n">
        <f aca="false">D408-C408</f>
        <v>15357342</v>
      </c>
    </row>
    <row r="409" customFormat="false" ht="15" hidden="false" customHeight="false" outlineLevel="0" collapsed="false">
      <c r="A409" s="2" t="n">
        <v>332310000</v>
      </c>
      <c r="B409" s="2" t="s">
        <v>595</v>
      </c>
      <c r="C409" s="3"/>
      <c r="D409" s="3" t="n">
        <v>35288952</v>
      </c>
      <c r="E409" s="3" t="n">
        <f aca="false">D409-C409</f>
        <v>35288952</v>
      </c>
    </row>
    <row r="410" customFormat="false" ht="15" hidden="false" customHeight="false" outlineLevel="0" collapsed="false">
      <c r="A410" s="2" t="n">
        <v>332320000</v>
      </c>
      <c r="B410" s="2" t="s">
        <v>596</v>
      </c>
      <c r="C410" s="3"/>
      <c r="D410" s="3" t="n">
        <v>2420291</v>
      </c>
      <c r="E410" s="3" t="n">
        <f aca="false">D410-C410</f>
        <v>2420291</v>
      </c>
    </row>
    <row r="411" customFormat="false" ht="15" hidden="false" customHeight="false" outlineLevel="0" collapsed="false">
      <c r="A411" s="2" t="n">
        <v>332330000</v>
      </c>
      <c r="B411" s="2" t="s">
        <v>597</v>
      </c>
      <c r="C411" s="3"/>
      <c r="D411" s="3" t="n">
        <v>13024045</v>
      </c>
      <c r="E411" s="3" t="n">
        <f aca="false">D411-C411</f>
        <v>13024045</v>
      </c>
    </row>
    <row r="412" customFormat="false" ht="15" hidden="false" customHeight="false" outlineLevel="0" collapsed="false">
      <c r="A412" s="2" t="n">
        <v>332410000</v>
      </c>
      <c r="B412" s="2" t="s">
        <v>598</v>
      </c>
      <c r="C412" s="3"/>
      <c r="D412" s="3" t="n">
        <v>69917764</v>
      </c>
      <c r="E412" s="3" t="n">
        <f aca="false">D412-C412</f>
        <v>69917764</v>
      </c>
    </row>
    <row r="413" customFormat="false" ht="15" hidden="false" customHeight="false" outlineLevel="0" collapsed="false">
      <c r="A413" s="2" t="n">
        <v>332420000</v>
      </c>
      <c r="B413" s="2" t="s">
        <v>599</v>
      </c>
      <c r="C413" s="3"/>
      <c r="D413" s="3"/>
      <c r="E413" s="3" t="n">
        <f aca="false">D413-C413</f>
        <v>0</v>
      </c>
    </row>
    <row r="414" customFormat="false" ht="15" hidden="false" customHeight="false" outlineLevel="0" collapsed="false">
      <c r="A414" s="2" t="n">
        <v>332421000</v>
      </c>
      <c r="B414" s="2" t="s">
        <v>600</v>
      </c>
      <c r="C414" s="3"/>
      <c r="D414" s="3" t="n">
        <v>337877</v>
      </c>
      <c r="E414" s="3" t="n">
        <f aca="false">D414-C414</f>
        <v>337877</v>
      </c>
    </row>
    <row r="415" customFormat="false" ht="15" hidden="false" customHeight="false" outlineLevel="0" collapsed="false">
      <c r="A415" s="2" t="n">
        <v>332422000</v>
      </c>
      <c r="B415" s="2" t="s">
        <v>601</v>
      </c>
      <c r="C415" s="3"/>
      <c r="D415" s="3"/>
      <c r="E415" s="3" t="n">
        <f aca="false">D415-C415</f>
        <v>0</v>
      </c>
    </row>
    <row r="416" customFormat="false" ht="15" hidden="false" customHeight="false" outlineLevel="0" collapsed="false">
      <c r="A416" s="2" t="n">
        <v>332426000</v>
      </c>
      <c r="B416" s="2" t="s">
        <v>602</v>
      </c>
      <c r="C416" s="3" t="n">
        <v>175995</v>
      </c>
      <c r="D416" s="3"/>
      <c r="E416" s="3" t="n">
        <f aca="false">D416-C416</f>
        <v>-175995</v>
      </c>
    </row>
    <row r="417" customFormat="false" ht="15" hidden="false" customHeight="false" outlineLevel="0" collapsed="false">
      <c r="A417" s="2" t="n">
        <v>332430000</v>
      </c>
      <c r="B417" s="2" t="s">
        <v>603</v>
      </c>
      <c r="C417" s="3"/>
      <c r="D417" s="3" t="n">
        <v>1686606</v>
      </c>
      <c r="E417" s="3" t="n">
        <f aca="false">D417-C417</f>
        <v>1686606</v>
      </c>
    </row>
    <row r="418" customFormat="false" ht="15" hidden="false" customHeight="false" outlineLevel="0" collapsed="false">
      <c r="A418" s="2" t="n">
        <v>332440000</v>
      </c>
      <c r="B418" s="2" t="s">
        <v>604</v>
      </c>
      <c r="C418" s="3"/>
      <c r="D418" s="3"/>
      <c r="E418" s="3" t="n">
        <f aca="false">D418-C418</f>
        <v>0</v>
      </c>
    </row>
    <row r="419" customFormat="false" ht="15" hidden="false" customHeight="false" outlineLevel="0" collapsed="false">
      <c r="A419" s="2" t="n">
        <v>332441000</v>
      </c>
      <c r="B419" s="2" t="s">
        <v>605</v>
      </c>
      <c r="C419" s="3"/>
      <c r="D419" s="3"/>
      <c r="E419" s="3" t="n">
        <f aca="false">D419-C419</f>
        <v>0</v>
      </c>
    </row>
    <row r="420" customFormat="false" ht="15" hidden="false" customHeight="false" outlineLevel="0" collapsed="false">
      <c r="A420" s="2" t="n">
        <v>332442000</v>
      </c>
      <c r="B420" s="2" t="s">
        <v>606</v>
      </c>
      <c r="C420" s="3"/>
      <c r="D420" s="3"/>
      <c r="E420" s="3" t="n">
        <f aca="false">D420-C420</f>
        <v>0</v>
      </c>
    </row>
    <row r="421" customFormat="false" ht="15" hidden="false" customHeight="false" outlineLevel="0" collapsed="false">
      <c r="A421" s="2" t="n">
        <v>332443000</v>
      </c>
      <c r="B421" s="2" t="s">
        <v>607</v>
      </c>
      <c r="C421" s="3"/>
      <c r="D421" s="3"/>
      <c r="E421" s="3" t="n">
        <f aca="false">D421-C421</f>
        <v>0</v>
      </c>
    </row>
    <row r="422" customFormat="false" ht="15" hidden="false" customHeight="false" outlineLevel="0" collapsed="false">
      <c r="A422" s="2" t="n">
        <v>332444000</v>
      </c>
      <c r="B422" s="2" t="s">
        <v>608</v>
      </c>
      <c r="C422" s="3"/>
      <c r="D422" s="3"/>
      <c r="E422" s="3" t="n">
        <f aca="false">D422-C422</f>
        <v>0</v>
      </c>
    </row>
    <row r="423" customFormat="false" ht="15" hidden="false" customHeight="false" outlineLevel="0" collapsed="false">
      <c r="A423" s="2" t="n">
        <v>332444100</v>
      </c>
      <c r="B423" s="2" t="s">
        <v>609</v>
      </c>
      <c r="C423" s="3"/>
      <c r="D423" s="3"/>
      <c r="E423" s="3" t="n">
        <f aca="false">D423-C423</f>
        <v>0</v>
      </c>
    </row>
    <row r="424" customFormat="false" ht="15" hidden="false" customHeight="false" outlineLevel="0" collapsed="false">
      <c r="A424" s="2" t="n">
        <v>332445000</v>
      </c>
      <c r="B424" s="2" t="s">
        <v>610</v>
      </c>
      <c r="C424" s="3"/>
      <c r="D424" s="3" t="n">
        <v>37744</v>
      </c>
      <c r="E424" s="3" t="n">
        <f aca="false">D424-C424</f>
        <v>37744</v>
      </c>
    </row>
    <row r="425" customFormat="false" ht="15" hidden="false" customHeight="false" outlineLevel="0" collapsed="false">
      <c r="A425" s="2" t="n">
        <v>332445100</v>
      </c>
      <c r="B425" s="2" t="s">
        <v>611</v>
      </c>
      <c r="C425" s="3"/>
      <c r="D425" s="3" t="n">
        <v>2153315</v>
      </c>
      <c r="E425" s="3" t="n">
        <f aca="false">D425-C425</f>
        <v>2153315</v>
      </c>
    </row>
    <row r="426" customFormat="false" ht="15" hidden="false" customHeight="false" outlineLevel="0" collapsed="false">
      <c r="A426" s="2" t="n">
        <v>332446000</v>
      </c>
      <c r="B426" s="2" t="s">
        <v>612</v>
      </c>
      <c r="C426" s="3"/>
      <c r="D426" s="3" t="n">
        <v>186275</v>
      </c>
      <c r="E426" s="3" t="n">
        <f aca="false">D426-C426</f>
        <v>186275</v>
      </c>
    </row>
    <row r="427" customFormat="false" ht="15" hidden="false" customHeight="false" outlineLevel="0" collapsed="false">
      <c r="A427" s="2" t="n">
        <v>332447000</v>
      </c>
      <c r="B427" s="2" t="s">
        <v>613</v>
      </c>
      <c r="C427" s="3"/>
      <c r="D427" s="3" t="n">
        <v>272425</v>
      </c>
      <c r="E427" s="3" t="n">
        <f aca="false">D427-C427</f>
        <v>272425</v>
      </c>
    </row>
    <row r="428" customFormat="false" ht="15" hidden="false" customHeight="false" outlineLevel="0" collapsed="false">
      <c r="A428" s="2" t="n">
        <v>332448000</v>
      </c>
      <c r="B428" s="2" t="s">
        <v>614</v>
      </c>
      <c r="C428" s="3"/>
      <c r="D428" s="3"/>
      <c r="E428" s="3" t="n">
        <f aca="false">D428-C428</f>
        <v>0</v>
      </c>
    </row>
    <row r="429" customFormat="false" ht="15" hidden="false" customHeight="false" outlineLevel="0" collapsed="false">
      <c r="A429" s="2" t="n">
        <v>332449000</v>
      </c>
      <c r="B429" s="2" t="s">
        <v>615</v>
      </c>
      <c r="C429" s="3"/>
      <c r="D429" s="3" t="n">
        <v>1631921</v>
      </c>
      <c r="E429" s="3" t="n">
        <f aca="false">D429-C429</f>
        <v>1631921</v>
      </c>
    </row>
    <row r="430" customFormat="false" ht="15" hidden="false" customHeight="false" outlineLevel="0" collapsed="false">
      <c r="A430" s="2" t="n">
        <v>332449100</v>
      </c>
      <c r="B430" s="2" t="s">
        <v>616</v>
      </c>
      <c r="C430" s="3"/>
      <c r="D430" s="3" t="n">
        <v>1727</v>
      </c>
      <c r="E430" s="3" t="n">
        <f aca="false">D430-C430</f>
        <v>1727</v>
      </c>
    </row>
    <row r="431" customFormat="false" ht="15" hidden="false" customHeight="false" outlineLevel="0" collapsed="false">
      <c r="A431" s="2" t="n">
        <v>332449200</v>
      </c>
      <c r="B431" s="2" t="s">
        <v>617</v>
      </c>
      <c r="C431" s="3"/>
      <c r="D431" s="3"/>
      <c r="E431" s="3" t="n">
        <f aca="false">D431-C431</f>
        <v>0</v>
      </c>
    </row>
    <row r="432" customFormat="false" ht="15" hidden="false" customHeight="false" outlineLevel="0" collapsed="false">
      <c r="A432" s="2" t="n">
        <v>332449300</v>
      </c>
      <c r="B432" s="2" t="s">
        <v>618</v>
      </c>
      <c r="C432" s="3"/>
      <c r="D432" s="3"/>
      <c r="E432" s="3" t="n">
        <f aca="false">D432-C432</f>
        <v>0</v>
      </c>
    </row>
    <row r="433" customFormat="false" ht="15" hidden="false" customHeight="false" outlineLevel="0" collapsed="false">
      <c r="A433" s="2" t="n">
        <v>332449400</v>
      </c>
      <c r="B433" s="2" t="s">
        <v>619</v>
      </c>
      <c r="C433" s="3"/>
      <c r="D433" s="3"/>
      <c r="E433" s="3" t="n">
        <f aca="false">D433-C433</f>
        <v>0</v>
      </c>
    </row>
    <row r="434" customFormat="false" ht="15" hidden="false" customHeight="false" outlineLevel="0" collapsed="false">
      <c r="A434" s="2" t="n">
        <v>332450000</v>
      </c>
      <c r="B434" s="2" t="s">
        <v>620</v>
      </c>
      <c r="C434" s="3"/>
      <c r="D434" s="3"/>
      <c r="E434" s="3" t="n">
        <f aca="false">D434-C434</f>
        <v>0</v>
      </c>
    </row>
    <row r="435" customFormat="false" ht="15" hidden="false" customHeight="false" outlineLevel="0" collapsed="false">
      <c r="A435" s="2" t="n">
        <v>332460000</v>
      </c>
      <c r="B435" s="2" t="s">
        <v>621</v>
      </c>
      <c r="C435" s="3"/>
      <c r="D435" s="3"/>
      <c r="E435" s="3" t="n">
        <f aca="false">D435-C435</f>
        <v>0</v>
      </c>
    </row>
    <row r="436" customFormat="false" ht="15" hidden="false" customHeight="false" outlineLevel="0" collapsed="false">
      <c r="A436" s="2" t="n">
        <v>332470000</v>
      </c>
      <c r="B436" s="2" t="s">
        <v>622</v>
      </c>
      <c r="C436" s="3"/>
      <c r="D436" s="3"/>
      <c r="E436" s="3" t="n">
        <f aca="false">D436-C436</f>
        <v>0</v>
      </c>
    </row>
    <row r="437" customFormat="false" ht="15" hidden="false" customHeight="false" outlineLevel="0" collapsed="false">
      <c r="A437" s="2" t="n">
        <v>332480000</v>
      </c>
      <c r="B437" s="2" t="s">
        <v>623</v>
      </c>
      <c r="C437" s="3"/>
      <c r="D437" s="3" t="n">
        <v>145385</v>
      </c>
      <c r="E437" s="3" t="n">
        <f aca="false">D437-C437</f>
        <v>145385</v>
      </c>
    </row>
    <row r="438" customFormat="false" ht="15" hidden="false" customHeight="false" outlineLevel="0" collapsed="false">
      <c r="A438" s="2" t="n">
        <v>332490000</v>
      </c>
      <c r="B438" s="2" t="s">
        <v>624</v>
      </c>
      <c r="C438" s="3"/>
      <c r="D438" s="3" t="n">
        <v>606248</v>
      </c>
      <c r="E438" s="3" t="n">
        <f aca="false">D438-C438</f>
        <v>606248</v>
      </c>
    </row>
    <row r="439" customFormat="false" ht="15" hidden="false" customHeight="false" outlineLevel="0" collapsed="false">
      <c r="A439" s="2" t="n">
        <v>332491000</v>
      </c>
      <c r="B439" s="2" t="s">
        <v>625</v>
      </c>
      <c r="C439" s="3"/>
      <c r="D439" s="3" t="n">
        <v>9176</v>
      </c>
      <c r="E439" s="3" t="n">
        <f aca="false">D439-C439</f>
        <v>9176</v>
      </c>
    </row>
    <row r="440" customFormat="false" ht="15" hidden="false" customHeight="false" outlineLevel="0" collapsed="false">
      <c r="A440" s="2" t="n">
        <v>332492000</v>
      </c>
      <c r="B440" s="2" t="s">
        <v>626</v>
      </c>
      <c r="C440" s="3"/>
      <c r="D440" s="3" t="n">
        <v>4659</v>
      </c>
      <c r="E440" s="3" t="n">
        <f aca="false">D440-C440</f>
        <v>4659</v>
      </c>
    </row>
    <row r="441" customFormat="false" ht="15" hidden="false" customHeight="false" outlineLevel="0" collapsed="false">
      <c r="A441" s="2" t="n">
        <v>332500000</v>
      </c>
      <c r="B441" s="2" t="s">
        <v>627</v>
      </c>
      <c r="C441" s="3"/>
      <c r="D441" s="3" t="n">
        <v>43000</v>
      </c>
      <c r="E441" s="3" t="n">
        <f aca="false">D441-C441</f>
        <v>43000</v>
      </c>
    </row>
    <row r="442" customFormat="false" ht="15" hidden="false" customHeight="false" outlineLevel="0" collapsed="false">
      <c r="A442" s="2" t="n">
        <v>332510000</v>
      </c>
      <c r="B442" s="2" t="s">
        <v>628</v>
      </c>
      <c r="C442" s="3"/>
      <c r="D442" s="3" t="n">
        <v>235853</v>
      </c>
      <c r="E442" s="3" t="n">
        <f aca="false">D442-C442</f>
        <v>235853</v>
      </c>
    </row>
    <row r="443" customFormat="false" ht="15" hidden="false" customHeight="false" outlineLevel="0" collapsed="false">
      <c r="A443" s="2" t="n">
        <v>332712000</v>
      </c>
      <c r="B443" s="2" t="s">
        <v>629</v>
      </c>
      <c r="C443" s="3"/>
      <c r="D443" s="3" t="n">
        <v>131166935</v>
      </c>
      <c r="E443" s="3" t="n">
        <f aca="false">D443-C443</f>
        <v>131166935</v>
      </c>
    </row>
    <row r="444" customFormat="false" ht="15" hidden="false" customHeight="false" outlineLevel="0" collapsed="false">
      <c r="A444" s="2" t="n">
        <v>332712100</v>
      </c>
      <c r="B444" s="2" t="s">
        <v>630</v>
      </c>
      <c r="C444" s="3"/>
      <c r="D444" s="3"/>
      <c r="E444" s="3" t="n">
        <f aca="false">D444-C444</f>
        <v>0</v>
      </c>
    </row>
    <row r="445" customFormat="false" ht="15" hidden="false" customHeight="false" outlineLevel="0" collapsed="false">
      <c r="A445" s="2" t="n">
        <v>332713000</v>
      </c>
      <c r="B445" s="2" t="s">
        <v>631</v>
      </c>
      <c r="C445" s="3"/>
      <c r="D445" s="3" t="n">
        <v>63350558</v>
      </c>
      <c r="E445" s="3" t="n">
        <f aca="false">D445-C445</f>
        <v>63350558</v>
      </c>
    </row>
    <row r="446" customFormat="false" ht="15" hidden="false" customHeight="false" outlineLevel="0" collapsed="false">
      <c r="A446" s="2" t="n">
        <v>332714000</v>
      </c>
      <c r="B446" s="2" t="s">
        <v>632</v>
      </c>
      <c r="C446" s="3"/>
      <c r="D446" s="3" t="n">
        <v>62656350</v>
      </c>
      <c r="E446" s="3" t="n">
        <f aca="false">D446-C446</f>
        <v>62656350</v>
      </c>
    </row>
    <row r="447" customFormat="false" ht="15" hidden="false" customHeight="false" outlineLevel="0" collapsed="false">
      <c r="A447" s="2" t="n">
        <v>332730000</v>
      </c>
      <c r="B447" s="2" t="s">
        <v>633</v>
      </c>
      <c r="C447" s="3" t="n">
        <v>6949</v>
      </c>
      <c r="D447" s="3"/>
      <c r="E447" s="3" t="n">
        <f aca="false">D447-C447</f>
        <v>-6949</v>
      </c>
    </row>
    <row r="448" customFormat="false" ht="15" hidden="false" customHeight="false" outlineLevel="0" collapsed="false">
      <c r="A448" s="2" t="n">
        <v>332750000</v>
      </c>
      <c r="B448" s="2" t="s">
        <v>634</v>
      </c>
      <c r="C448" s="3"/>
      <c r="D448" s="3"/>
      <c r="E448" s="3" t="n">
        <f aca="false">D448-C448</f>
        <v>0</v>
      </c>
    </row>
    <row r="449" customFormat="false" ht="15" hidden="false" customHeight="false" outlineLevel="0" collapsed="false">
      <c r="A449" s="2" t="n">
        <v>332760000</v>
      </c>
      <c r="B449" s="2" t="s">
        <v>635</v>
      </c>
      <c r="C449" s="3"/>
      <c r="D449" s="3"/>
      <c r="E449" s="3" t="n">
        <f aca="false">D449-C449</f>
        <v>0</v>
      </c>
    </row>
    <row r="450" customFormat="false" ht="15" hidden="false" customHeight="false" outlineLevel="0" collapsed="false">
      <c r="A450" s="2" t="n">
        <v>332770000</v>
      </c>
      <c r="B450" s="2" t="s">
        <v>636</v>
      </c>
      <c r="C450" s="3"/>
      <c r="D450" s="3"/>
      <c r="E450" s="3" t="n">
        <f aca="false">D450-C450</f>
        <v>0</v>
      </c>
    </row>
    <row r="451" customFormat="false" ht="15" hidden="false" customHeight="false" outlineLevel="0" collapsed="false">
      <c r="A451" s="2" t="n">
        <v>332780000</v>
      </c>
      <c r="B451" s="2" t="s">
        <v>637</v>
      </c>
      <c r="C451" s="3"/>
      <c r="D451" s="3"/>
      <c r="E451" s="3" t="n">
        <f aca="false">D451-C451</f>
        <v>0</v>
      </c>
    </row>
    <row r="452" customFormat="false" ht="15" hidden="false" customHeight="false" outlineLevel="0" collapsed="false">
      <c r="A452" s="2" t="n">
        <v>332790000</v>
      </c>
      <c r="B452" s="2" t="s">
        <v>638</v>
      </c>
      <c r="C452" s="3"/>
      <c r="D452" s="3"/>
      <c r="E452" s="3" t="n">
        <f aca="false">D452-C452</f>
        <v>0</v>
      </c>
    </row>
    <row r="453" customFormat="false" ht="15" hidden="false" customHeight="false" outlineLevel="0" collapsed="false">
      <c r="A453" s="2" t="n">
        <v>332800000</v>
      </c>
      <c r="B453" s="2" t="s">
        <v>639</v>
      </c>
      <c r="C453" s="3"/>
      <c r="D453" s="3"/>
      <c r="E453" s="3" t="n">
        <f aca="false">D453-C453</f>
        <v>0</v>
      </c>
    </row>
    <row r="454" customFormat="false" ht="15" hidden="false" customHeight="false" outlineLevel="0" collapsed="false">
      <c r="A454" s="2" t="n">
        <v>332810000</v>
      </c>
      <c r="B454" s="2" t="s">
        <v>640</v>
      </c>
      <c r="C454" s="3"/>
      <c r="D454" s="3"/>
      <c r="E454" s="3" t="n">
        <f aca="false">D454-C454</f>
        <v>0</v>
      </c>
    </row>
    <row r="455" customFormat="false" ht="15" hidden="false" customHeight="false" outlineLevel="0" collapsed="false">
      <c r="A455" s="2" t="n">
        <v>332820000</v>
      </c>
      <c r="B455" s="2" t="s">
        <v>641</v>
      </c>
      <c r="C455" s="3"/>
      <c r="D455" s="3"/>
      <c r="E455" s="3" t="n">
        <f aca="false">D455-C455</f>
        <v>0</v>
      </c>
    </row>
    <row r="456" customFormat="false" ht="15" hidden="false" customHeight="false" outlineLevel="0" collapsed="false">
      <c r="A456" s="2" t="n">
        <v>332830000</v>
      </c>
      <c r="B456" s="2" t="s">
        <v>642</v>
      </c>
      <c r="C456" s="3"/>
      <c r="D456" s="3"/>
      <c r="E456" s="3" t="n">
        <f aca="false">D456-C456</f>
        <v>0</v>
      </c>
    </row>
    <row r="457" customFormat="false" ht="15" hidden="false" customHeight="false" outlineLevel="0" collapsed="false">
      <c r="A457" s="2" t="n">
        <v>332840000</v>
      </c>
      <c r="B457" s="2" t="s">
        <v>643</v>
      </c>
      <c r="C457" s="3"/>
      <c r="D457" s="3" t="n">
        <v>33000000</v>
      </c>
      <c r="E457" s="3" t="n">
        <f aca="false">D457-C457</f>
        <v>33000000</v>
      </c>
    </row>
    <row r="458" customFormat="false" ht="15" hidden="false" customHeight="false" outlineLevel="0" collapsed="false">
      <c r="A458" s="2" t="n">
        <v>332850000</v>
      </c>
      <c r="B458" s="2" t="s">
        <v>644</v>
      </c>
      <c r="C458" s="3"/>
      <c r="D458" s="3"/>
      <c r="E458" s="3" t="n">
        <f aca="false">D458-C458</f>
        <v>0</v>
      </c>
    </row>
    <row r="459" customFormat="false" ht="15" hidden="false" customHeight="false" outlineLevel="0" collapsed="false">
      <c r="A459" s="2" t="n">
        <v>371100000</v>
      </c>
      <c r="B459" s="2" t="s">
        <v>645</v>
      </c>
      <c r="C459" s="3"/>
      <c r="D459" s="3"/>
      <c r="E459" s="3" t="n">
        <f aca="false">D459-C459</f>
        <v>0</v>
      </c>
    </row>
    <row r="460" customFormat="false" ht="15" hidden="false" customHeight="false" outlineLevel="0" collapsed="false">
      <c r="A460" s="2" t="n">
        <v>379100000</v>
      </c>
      <c r="B460" s="2" t="s">
        <v>646</v>
      </c>
      <c r="C460" s="3" t="n">
        <v>131575190</v>
      </c>
      <c r="D460" s="3"/>
      <c r="E460" s="3" t="n">
        <f aca="false">D460-C460</f>
        <v>-131575190</v>
      </c>
    </row>
    <row r="461" customFormat="false" ht="15" hidden="false" customHeight="false" outlineLevel="0" collapsed="false">
      <c r="A461" s="2" t="n">
        <v>379200000</v>
      </c>
      <c r="B461" s="2" t="s">
        <v>647</v>
      </c>
      <c r="C461" s="3"/>
      <c r="D461" s="3" t="n">
        <v>169970171</v>
      </c>
      <c r="E461" s="3" t="n">
        <f aca="false">D461-C461</f>
        <v>169970171</v>
      </c>
    </row>
    <row r="462" customFormat="false" ht="15" hidden="false" customHeight="false" outlineLevel="0" collapsed="false">
      <c r="A462" s="2" t="n">
        <v>381100000</v>
      </c>
      <c r="B462" s="2" t="s">
        <v>648</v>
      </c>
      <c r="C462" s="3"/>
      <c r="D462" s="3"/>
      <c r="E462" s="3" t="n">
        <f aca="false">D462-C462</f>
        <v>0</v>
      </c>
    </row>
    <row r="463" customFormat="false" ht="15" hidden="false" customHeight="false" outlineLevel="0" collapsed="false">
      <c r="A463" s="2" t="n">
        <v>381200000</v>
      </c>
      <c r="B463" s="2" t="s">
        <v>649</v>
      </c>
      <c r="C463" s="3" t="n">
        <v>1</v>
      </c>
      <c r="D463" s="3"/>
      <c r="E463" s="3" t="n">
        <f aca="false">D463-C463</f>
        <v>-1</v>
      </c>
    </row>
    <row r="464" customFormat="false" ht="15" hidden="false" customHeight="false" outlineLevel="0" collapsed="false">
      <c r="A464" s="2" t="n">
        <v>381500000</v>
      </c>
      <c r="B464" s="2" t="s">
        <v>650</v>
      </c>
      <c r="C464" s="3" t="n">
        <v>147413608</v>
      </c>
      <c r="D464" s="3"/>
      <c r="E464" s="3" t="n">
        <f aca="false">D464-C464</f>
        <v>-147413608</v>
      </c>
    </row>
    <row r="465" customFormat="false" ht="15" hidden="false" customHeight="false" outlineLevel="0" collapsed="false">
      <c r="A465" s="2" t="n">
        <v>382210000</v>
      </c>
      <c r="B465" s="2" t="s">
        <v>651</v>
      </c>
      <c r="C465" s="3"/>
      <c r="D465" s="3"/>
      <c r="E465" s="3" t="n">
        <f aca="false">D465-C465</f>
        <v>0</v>
      </c>
    </row>
    <row r="466" customFormat="false" ht="15" hidden="false" customHeight="false" outlineLevel="0" collapsed="false">
      <c r="A466" s="2" t="n">
        <v>382220000</v>
      </c>
      <c r="B466" s="2" t="s">
        <v>652</v>
      </c>
      <c r="C466" s="3"/>
      <c r="D466" s="3"/>
      <c r="E466" s="3" t="n">
        <f aca="false">D466-C466</f>
        <v>0</v>
      </c>
    </row>
    <row r="467" customFormat="false" ht="15" hidden="false" customHeight="false" outlineLevel="0" collapsed="false">
      <c r="A467" s="2" t="n">
        <v>382500000</v>
      </c>
      <c r="B467" s="2" t="s">
        <v>653</v>
      </c>
      <c r="C467" s="3"/>
      <c r="D467" s="3" t="n">
        <v>1624895706</v>
      </c>
      <c r="E467" s="3" t="n">
        <f aca="false">D467-C467</f>
        <v>1624895706</v>
      </c>
    </row>
    <row r="468" customFormat="false" ht="15" hidden="false" customHeight="false" outlineLevel="0" collapsed="false">
      <c r="A468" s="2" t="n">
        <v>390000000</v>
      </c>
      <c r="B468" s="2" t="s">
        <v>654</v>
      </c>
      <c r="C468" s="3"/>
      <c r="D468" s="3"/>
      <c r="E468" s="3" t="n">
        <f aca="false">D468-C468</f>
        <v>0</v>
      </c>
    </row>
    <row r="469" customFormat="false" ht="15" hidden="false" customHeight="false" outlineLevel="0" collapsed="false">
      <c r="A469" s="2" t="n">
        <v>390100000</v>
      </c>
      <c r="B469" s="2" t="s">
        <v>655</v>
      </c>
      <c r="C469" s="3"/>
      <c r="D469" s="3"/>
      <c r="E469" s="3" t="n">
        <f aca="false">D469-C469</f>
        <v>0</v>
      </c>
    </row>
    <row r="470" customFormat="false" ht="15" hidden="false" customHeight="false" outlineLevel="0" collapsed="false">
      <c r="A470" s="2" t="n">
        <v>390101200</v>
      </c>
      <c r="B470" s="2" t="s">
        <v>656</v>
      </c>
      <c r="C470" s="3"/>
      <c r="D470" s="3"/>
      <c r="E470" s="3" t="n">
        <f aca="false">D470-C470</f>
        <v>0</v>
      </c>
    </row>
    <row r="471" customFormat="false" ht="15" hidden="false" customHeight="false" outlineLevel="0" collapsed="false">
      <c r="A471" s="2" t="n">
        <v>390101300</v>
      </c>
      <c r="B471" s="2" t="s">
        <v>657</v>
      </c>
      <c r="C471" s="3"/>
      <c r="D471" s="3"/>
      <c r="E471" s="3" t="n">
        <f aca="false">D471-C471</f>
        <v>0</v>
      </c>
    </row>
    <row r="472" customFormat="false" ht="15" hidden="false" customHeight="false" outlineLevel="0" collapsed="false">
      <c r="A472" s="2" t="n">
        <v>390102000</v>
      </c>
      <c r="B472" s="2" t="s">
        <v>658</v>
      </c>
      <c r="C472" s="3"/>
      <c r="D472" s="3"/>
      <c r="E472" s="3" t="n">
        <f aca="false">D472-C472</f>
        <v>0</v>
      </c>
    </row>
    <row r="473" customFormat="false" ht="15" hidden="false" customHeight="false" outlineLevel="0" collapsed="false">
      <c r="A473" s="2" t="n">
        <v>390103000</v>
      </c>
      <c r="B473" s="2" t="s">
        <v>659</v>
      </c>
      <c r="C473" s="3"/>
      <c r="D473" s="3"/>
      <c r="E473" s="3" t="n">
        <f aca="false">D473-C473</f>
        <v>0</v>
      </c>
    </row>
    <row r="474" customFormat="false" ht="15" hidden="false" customHeight="false" outlineLevel="0" collapsed="false">
      <c r="A474" s="2" t="n">
        <v>390104000</v>
      </c>
      <c r="B474" s="2" t="s">
        <v>660</v>
      </c>
      <c r="C474" s="3"/>
      <c r="D474" s="3"/>
      <c r="E474" s="3" t="n">
        <f aca="false">D474-C474</f>
        <v>0</v>
      </c>
    </row>
    <row r="475" customFormat="false" ht="15" hidden="false" customHeight="false" outlineLevel="0" collapsed="false">
      <c r="A475" s="2" t="n">
        <v>390105000</v>
      </c>
      <c r="B475" s="2" t="s">
        <v>661</v>
      </c>
      <c r="C475" s="3"/>
      <c r="D475" s="3"/>
      <c r="E475" s="3" t="n">
        <f aca="false">D475-C475</f>
        <v>0</v>
      </c>
    </row>
    <row r="476" customFormat="false" ht="15" hidden="false" customHeight="false" outlineLevel="0" collapsed="false">
      <c r="A476" s="2" t="n">
        <v>390106000</v>
      </c>
      <c r="B476" s="2" t="s">
        <v>662</v>
      </c>
      <c r="C476" s="3"/>
      <c r="D476" s="3"/>
      <c r="E476" s="3" t="n">
        <f aca="false">D476-C476</f>
        <v>0</v>
      </c>
    </row>
    <row r="477" customFormat="false" ht="15" hidden="false" customHeight="false" outlineLevel="0" collapsed="false">
      <c r="A477" s="2" t="n">
        <v>390107000</v>
      </c>
      <c r="B477" s="2" t="s">
        <v>663</v>
      </c>
      <c r="C477" s="3"/>
      <c r="D477" s="3"/>
      <c r="E477" s="3" t="n">
        <f aca="false">D477-C477</f>
        <v>0</v>
      </c>
    </row>
    <row r="478" customFormat="false" ht="15" hidden="false" customHeight="false" outlineLevel="0" collapsed="false">
      <c r="A478" s="2" t="n">
        <v>390108000</v>
      </c>
      <c r="B478" s="2" t="s">
        <v>664</v>
      </c>
      <c r="C478" s="3"/>
      <c r="D478" s="3"/>
      <c r="E478" s="3" t="n">
        <f aca="false">D478-C478</f>
        <v>0</v>
      </c>
    </row>
    <row r="479" customFormat="false" ht="15" hidden="false" customHeight="false" outlineLevel="0" collapsed="false">
      <c r="A479" s="2" t="n">
        <v>390109000</v>
      </c>
      <c r="B479" s="2" t="s">
        <v>665</v>
      </c>
      <c r="C479" s="3"/>
      <c r="D479" s="3"/>
      <c r="E479" s="3" t="n">
        <f aca="false">D479-C479</f>
        <v>0</v>
      </c>
    </row>
    <row r="480" customFormat="false" ht="15" hidden="false" customHeight="false" outlineLevel="0" collapsed="false">
      <c r="A480" s="2" t="n">
        <v>390110000</v>
      </c>
      <c r="B480" s="2" t="s">
        <v>666</v>
      </c>
      <c r="C480" s="3"/>
      <c r="D480" s="3"/>
      <c r="E480" s="3" t="n">
        <f aca="false">D480-C480</f>
        <v>0</v>
      </c>
    </row>
    <row r="481" customFormat="false" ht="15" hidden="false" customHeight="false" outlineLevel="0" collapsed="false">
      <c r="A481" s="2" t="n">
        <v>390111200</v>
      </c>
      <c r="B481" s="2" t="s">
        <v>667</v>
      </c>
      <c r="C481" s="3"/>
      <c r="D481" s="3"/>
      <c r="E481" s="3" t="n">
        <f aca="false">D481-C481</f>
        <v>0</v>
      </c>
    </row>
    <row r="482" customFormat="false" ht="15" hidden="false" customHeight="false" outlineLevel="0" collapsed="false">
      <c r="A482" s="2" t="n">
        <v>390111300</v>
      </c>
      <c r="B482" s="2" t="s">
        <v>668</v>
      </c>
      <c r="C482" s="3"/>
      <c r="D482" s="3"/>
      <c r="E482" s="3" t="n">
        <f aca="false">D482-C482</f>
        <v>0</v>
      </c>
    </row>
    <row r="483" customFormat="false" ht="15" hidden="false" customHeight="false" outlineLevel="0" collapsed="false">
      <c r="A483" s="2" t="n">
        <v>390120000</v>
      </c>
      <c r="B483" s="2" t="s">
        <v>669</v>
      </c>
      <c r="C483" s="3"/>
      <c r="D483" s="3"/>
      <c r="E483" s="3" t="n">
        <f aca="false">D483-C483</f>
        <v>0</v>
      </c>
    </row>
    <row r="484" customFormat="false" ht="15" hidden="false" customHeight="false" outlineLevel="0" collapsed="false">
      <c r="A484" s="2" t="n">
        <v>390121300</v>
      </c>
      <c r="B484" s="2" t="s">
        <v>670</v>
      </c>
      <c r="C484" s="3"/>
      <c r="D484" s="3"/>
      <c r="E484" s="3" t="n">
        <f aca="false">D484-C484</f>
        <v>0</v>
      </c>
    </row>
    <row r="485" customFormat="false" ht="15" hidden="false" customHeight="false" outlineLevel="0" collapsed="false">
      <c r="A485" s="2" t="n">
        <v>390130000</v>
      </c>
      <c r="B485" s="2" t="s">
        <v>671</v>
      </c>
      <c r="C485" s="3"/>
      <c r="D485" s="3" t="n">
        <v>6949</v>
      </c>
      <c r="E485" s="3" t="n">
        <f aca="false">D485-C485</f>
        <v>6949</v>
      </c>
    </row>
    <row r="486" customFormat="false" ht="15" hidden="false" customHeight="false" outlineLevel="0" collapsed="false">
      <c r="A486" s="2" t="n">
        <v>390131000</v>
      </c>
      <c r="B486" s="2" t="s">
        <v>672</v>
      </c>
      <c r="C486" s="3"/>
      <c r="D486" s="3"/>
      <c r="E486" s="3" t="n">
        <f aca="false">D486-C486</f>
        <v>0</v>
      </c>
    </row>
    <row r="487" customFormat="false" ht="15" hidden="false" customHeight="false" outlineLevel="0" collapsed="false">
      <c r="A487" s="2" t="n">
        <v>390151000</v>
      </c>
      <c r="B487" s="2" t="s">
        <v>673</v>
      </c>
      <c r="C487" s="3"/>
      <c r="D487" s="3"/>
      <c r="E487" s="3" t="n">
        <f aca="false">D487-C487</f>
        <v>0</v>
      </c>
    </row>
    <row r="488" customFormat="false" ht="15" hidden="false" customHeight="false" outlineLevel="0" collapsed="false">
      <c r="A488" s="2" t="n">
        <v>390160000</v>
      </c>
      <c r="B488" s="2" t="s">
        <v>674</v>
      </c>
      <c r="C488" s="3"/>
      <c r="D488" s="3"/>
      <c r="E488" s="3" t="n">
        <f aca="false">D488-C488</f>
        <v>0</v>
      </c>
    </row>
    <row r="489" customFormat="false" ht="15" hidden="false" customHeight="false" outlineLevel="0" collapsed="false">
      <c r="A489" s="2" t="n">
        <v>390170000</v>
      </c>
      <c r="B489" s="2" t="s">
        <v>675</v>
      </c>
      <c r="C489" s="3"/>
      <c r="D489" s="3"/>
      <c r="E489" s="3" t="n">
        <f aca="false">D489-C489</f>
        <v>0</v>
      </c>
    </row>
    <row r="490" customFormat="false" ht="15" hidden="false" customHeight="false" outlineLevel="0" collapsed="false">
      <c r="A490" s="2" t="n">
        <v>390180000</v>
      </c>
      <c r="B490" s="2" t="s">
        <v>676</v>
      </c>
      <c r="C490" s="3"/>
      <c r="D490" s="3"/>
      <c r="E490" s="3" t="n">
        <f aca="false">D490-C490</f>
        <v>0</v>
      </c>
    </row>
    <row r="491" customFormat="false" ht="15" hidden="false" customHeight="false" outlineLevel="0" collapsed="false">
      <c r="A491" s="2" t="n">
        <v>390190000</v>
      </c>
      <c r="B491" s="2" t="s">
        <v>677</v>
      </c>
      <c r="C491" s="3"/>
      <c r="D491" s="3"/>
      <c r="E491" s="3" t="n">
        <f aca="false">D491-C491</f>
        <v>0</v>
      </c>
    </row>
    <row r="492" customFormat="false" ht="15" hidden="false" customHeight="false" outlineLevel="0" collapsed="false">
      <c r="A492" s="2" t="n">
        <v>390191000</v>
      </c>
      <c r="B492" s="2" t="s">
        <v>678</v>
      </c>
      <c r="C492" s="3"/>
      <c r="D492" s="3"/>
      <c r="E492" s="3" t="n">
        <f aca="false">D492-C492</f>
        <v>0</v>
      </c>
    </row>
    <row r="493" customFormat="false" ht="15" hidden="false" customHeight="false" outlineLevel="0" collapsed="false">
      <c r="A493" s="2" t="n">
        <v>390192000</v>
      </c>
      <c r="B493" s="2" t="s">
        <v>679</v>
      </c>
      <c r="C493" s="3"/>
      <c r="D493" s="3"/>
      <c r="E493" s="3" t="n">
        <f aca="false">D493-C493</f>
        <v>0</v>
      </c>
    </row>
    <row r="494" customFormat="false" ht="15" hidden="false" customHeight="false" outlineLevel="0" collapsed="false">
      <c r="A494" s="2" t="n">
        <v>390193000</v>
      </c>
      <c r="B494" s="2" t="s">
        <v>680</v>
      </c>
      <c r="C494" s="3"/>
      <c r="D494" s="3"/>
      <c r="E494" s="3" t="n">
        <f aca="false">D494-C494</f>
        <v>0</v>
      </c>
    </row>
    <row r="495" customFormat="false" ht="15" hidden="false" customHeight="false" outlineLevel="0" collapsed="false">
      <c r="A495" s="2" t="n">
        <v>390200000</v>
      </c>
      <c r="B495" s="2" t="s">
        <v>681</v>
      </c>
      <c r="C495" s="3"/>
      <c r="D495" s="3"/>
      <c r="E495" s="3" t="n">
        <f aca="false">D495-C495</f>
        <v>0</v>
      </c>
    </row>
    <row r="496" customFormat="false" ht="15" hidden="false" customHeight="false" outlineLevel="0" collapsed="false">
      <c r="A496" s="2" t="n">
        <v>390201100</v>
      </c>
      <c r="B496" s="2" t="s">
        <v>682</v>
      </c>
      <c r="C496" s="3"/>
      <c r="D496" s="3"/>
      <c r="E496" s="3" t="n">
        <f aca="false">D496-C496</f>
        <v>0</v>
      </c>
    </row>
    <row r="497" customFormat="false" ht="15" hidden="false" customHeight="false" outlineLevel="0" collapsed="false">
      <c r="A497" s="2" t="n">
        <v>390201200</v>
      </c>
      <c r="B497" s="2" t="s">
        <v>683</v>
      </c>
      <c r="C497" s="3"/>
      <c r="D497" s="3"/>
      <c r="E497" s="3" t="n">
        <f aca="false">D497-C497</f>
        <v>0</v>
      </c>
    </row>
    <row r="498" customFormat="false" ht="15" hidden="false" customHeight="false" outlineLevel="0" collapsed="false">
      <c r="A498" s="2" t="n">
        <v>390201300</v>
      </c>
      <c r="B498" s="2" t="s">
        <v>684</v>
      </c>
      <c r="C498" s="3"/>
      <c r="D498" s="3"/>
      <c r="E498" s="3" t="n">
        <f aca="false">D498-C498</f>
        <v>0</v>
      </c>
    </row>
    <row r="499" customFormat="false" ht="15" hidden="false" customHeight="false" outlineLevel="0" collapsed="false">
      <c r="A499" s="2" t="n">
        <v>390203000</v>
      </c>
      <c r="B499" s="2" t="s">
        <v>685</v>
      </c>
      <c r="C499" s="3"/>
      <c r="D499" s="3"/>
      <c r="E499" s="3" t="n">
        <f aca="false">D499-C499</f>
        <v>0</v>
      </c>
    </row>
    <row r="500" customFormat="false" ht="15" hidden="false" customHeight="false" outlineLevel="0" collapsed="false">
      <c r="A500" s="2" t="n">
        <v>390204000</v>
      </c>
      <c r="B500" s="2" t="s">
        <v>686</v>
      </c>
      <c r="C500" s="3"/>
      <c r="D500" s="3"/>
      <c r="E500" s="3" t="n">
        <f aca="false">D500-C500</f>
        <v>0</v>
      </c>
    </row>
    <row r="501" customFormat="false" ht="15" hidden="false" customHeight="false" outlineLevel="0" collapsed="false">
      <c r="A501" s="2" t="n">
        <v>390205000</v>
      </c>
      <c r="B501" s="2" t="s">
        <v>687</v>
      </c>
      <c r="C501" s="3"/>
      <c r="D501" s="3"/>
      <c r="E501" s="3" t="n">
        <f aca="false">D501-C501</f>
        <v>0</v>
      </c>
    </row>
    <row r="502" customFormat="false" ht="15" hidden="false" customHeight="false" outlineLevel="0" collapsed="false">
      <c r="A502" s="2" t="n">
        <v>390205100</v>
      </c>
      <c r="B502" s="2" t="s">
        <v>688</v>
      </c>
      <c r="C502" s="3"/>
      <c r="D502" s="3"/>
      <c r="E502" s="3" t="n">
        <f aca="false">D502-C502</f>
        <v>0</v>
      </c>
    </row>
    <row r="503" customFormat="false" ht="15" hidden="false" customHeight="false" outlineLevel="0" collapsed="false">
      <c r="A503" s="2" t="n">
        <v>390206000</v>
      </c>
      <c r="B503" s="2" t="s">
        <v>689</v>
      </c>
      <c r="C503" s="3"/>
      <c r="D503" s="3"/>
      <c r="E503" s="3" t="n">
        <f aca="false">D503-C503</f>
        <v>0</v>
      </c>
    </row>
    <row r="504" customFormat="false" ht="15" hidden="false" customHeight="false" outlineLevel="0" collapsed="false">
      <c r="A504" s="2" t="n">
        <v>390207000</v>
      </c>
      <c r="B504" s="2" t="s">
        <v>690</v>
      </c>
      <c r="C504" s="3"/>
      <c r="D504" s="3"/>
      <c r="E504" s="3" t="n">
        <f aca="false">D504-C504</f>
        <v>0</v>
      </c>
    </row>
    <row r="505" customFormat="false" ht="15" hidden="false" customHeight="false" outlineLevel="0" collapsed="false">
      <c r="A505" s="2" t="n">
        <v>390208000</v>
      </c>
      <c r="B505" s="2" t="s">
        <v>691</v>
      </c>
      <c r="C505" s="3"/>
      <c r="D505" s="3"/>
      <c r="E505" s="3" t="n">
        <f aca="false">D505-C505</f>
        <v>0</v>
      </c>
    </row>
    <row r="506" customFormat="false" ht="15" hidden="false" customHeight="false" outlineLevel="0" collapsed="false">
      <c r="A506" s="2" t="n">
        <v>390209000</v>
      </c>
      <c r="B506" s="2" t="s">
        <v>692</v>
      </c>
      <c r="C506" s="3"/>
      <c r="D506" s="3"/>
      <c r="E506" s="3" t="n">
        <f aca="false">D506-C506</f>
        <v>0</v>
      </c>
    </row>
    <row r="507" customFormat="false" ht="15" hidden="false" customHeight="false" outlineLevel="0" collapsed="false">
      <c r="A507" s="2" t="n">
        <v>390300000</v>
      </c>
      <c r="B507" s="2" t="s">
        <v>693</v>
      </c>
      <c r="C507" s="3"/>
      <c r="D507" s="3"/>
      <c r="E507" s="3" t="n">
        <f aca="false">D507-C507</f>
        <v>0</v>
      </c>
    </row>
    <row r="508" customFormat="false" ht="15" hidden="false" customHeight="false" outlineLevel="0" collapsed="false">
      <c r="A508" s="2" t="n">
        <v>390301000</v>
      </c>
      <c r="B508" s="2" t="s">
        <v>694</v>
      </c>
      <c r="C508" s="3"/>
      <c r="D508" s="3"/>
      <c r="E508" s="3" t="n">
        <f aca="false">D508-C508</f>
        <v>0</v>
      </c>
    </row>
    <row r="509" customFormat="false" ht="15" hidden="false" customHeight="false" outlineLevel="0" collapsed="false">
      <c r="A509" s="2" t="n">
        <v>390301100</v>
      </c>
      <c r="B509" s="2" t="s">
        <v>695</v>
      </c>
      <c r="C509" s="3"/>
      <c r="D509" s="3"/>
      <c r="E509" s="3" t="n">
        <f aca="false">D509-C509</f>
        <v>0</v>
      </c>
    </row>
    <row r="510" customFormat="false" ht="15" hidden="false" customHeight="false" outlineLevel="0" collapsed="false">
      <c r="A510" s="2" t="n">
        <v>390301200</v>
      </c>
      <c r="B510" s="2" t="s">
        <v>696</v>
      </c>
      <c r="C510" s="3"/>
      <c r="D510" s="3"/>
      <c r="E510" s="3" t="n">
        <f aca="false">D510-C510</f>
        <v>0</v>
      </c>
    </row>
    <row r="511" customFormat="false" ht="15" hidden="false" customHeight="false" outlineLevel="0" collapsed="false">
      <c r="A511" s="2" t="n">
        <v>390301300</v>
      </c>
      <c r="B511" s="2" t="s">
        <v>697</v>
      </c>
      <c r="C511" s="3"/>
      <c r="D511" s="3"/>
      <c r="E511" s="3" t="n">
        <f aca="false">D511-C511</f>
        <v>0</v>
      </c>
    </row>
    <row r="512" customFormat="false" ht="15" hidden="false" customHeight="false" outlineLevel="0" collapsed="false">
      <c r="A512" s="2" t="n">
        <v>390304000</v>
      </c>
      <c r="B512" s="2" t="s">
        <v>698</v>
      </c>
      <c r="C512" s="3"/>
      <c r="D512" s="3"/>
      <c r="E512" s="3" t="n">
        <f aca="false">D512-C512</f>
        <v>0</v>
      </c>
    </row>
    <row r="513" customFormat="false" ht="15" hidden="false" customHeight="false" outlineLevel="0" collapsed="false">
      <c r="A513" s="2" t="n">
        <v>390305000</v>
      </c>
      <c r="B513" s="2" t="s">
        <v>699</v>
      </c>
      <c r="C513" s="3"/>
      <c r="D513" s="3"/>
      <c r="E513" s="3" t="n">
        <f aca="false">D513-C513</f>
        <v>0</v>
      </c>
    </row>
    <row r="514" customFormat="false" ht="15" hidden="false" customHeight="false" outlineLevel="0" collapsed="false">
      <c r="A514" s="2" t="n">
        <v>390306000</v>
      </c>
      <c r="B514" s="2" t="s">
        <v>700</v>
      </c>
      <c r="C514" s="3"/>
      <c r="D514" s="3"/>
      <c r="E514" s="3" t="n">
        <f aca="false">D514-C514</f>
        <v>0</v>
      </c>
    </row>
    <row r="515" customFormat="false" ht="15" hidden="false" customHeight="false" outlineLevel="0" collapsed="false">
      <c r="A515" s="2" t="n">
        <v>390307000</v>
      </c>
      <c r="B515" s="2" t="s">
        <v>701</v>
      </c>
      <c r="C515" s="3"/>
      <c r="D515" s="3"/>
      <c r="E515" s="3" t="n">
        <f aca="false">D515-C515</f>
        <v>0</v>
      </c>
    </row>
    <row r="516" customFormat="false" ht="15" hidden="false" customHeight="false" outlineLevel="0" collapsed="false">
      <c r="A516" s="2" t="n">
        <v>390308000</v>
      </c>
      <c r="B516" s="2" t="s">
        <v>702</v>
      </c>
      <c r="C516" s="3"/>
      <c r="D516" s="3"/>
      <c r="E516" s="3" t="n">
        <f aca="false">D516-C516</f>
        <v>0</v>
      </c>
    </row>
    <row r="517" customFormat="false" ht="15" hidden="false" customHeight="false" outlineLevel="0" collapsed="false">
      <c r="A517" s="2" t="n">
        <v>390308100</v>
      </c>
      <c r="B517" s="2" t="s">
        <v>703</v>
      </c>
      <c r="C517" s="3"/>
      <c r="D517" s="3"/>
      <c r="E517" s="3" t="n">
        <f aca="false">D517-C517</f>
        <v>0</v>
      </c>
    </row>
    <row r="518" customFormat="false" ht="15" hidden="false" customHeight="false" outlineLevel="0" collapsed="false">
      <c r="A518" s="2" t="n">
        <v>390309000</v>
      </c>
      <c r="B518" s="2" t="s">
        <v>704</v>
      </c>
      <c r="C518" s="3"/>
      <c r="D518" s="3"/>
      <c r="E518" s="3" t="n">
        <f aca="false">D518-C518</f>
        <v>0</v>
      </c>
    </row>
    <row r="519" customFormat="false" ht="15" hidden="false" customHeight="false" outlineLevel="0" collapsed="false">
      <c r="A519" s="2" t="n">
        <v>390401000</v>
      </c>
      <c r="B519" s="2" t="s">
        <v>705</v>
      </c>
      <c r="C519" s="3"/>
      <c r="D519" s="3"/>
      <c r="E519" s="3" t="n">
        <f aca="false">D519-C519</f>
        <v>0</v>
      </c>
    </row>
    <row r="520" customFormat="false" ht="15" hidden="false" customHeight="false" outlineLevel="0" collapsed="false">
      <c r="A520" s="2" t="n">
        <v>390401100</v>
      </c>
      <c r="B520" s="2" t="s">
        <v>706</v>
      </c>
      <c r="C520" s="3"/>
      <c r="D520" s="3"/>
      <c r="E520" s="3" t="n">
        <f aca="false">D520-C520</f>
        <v>0</v>
      </c>
    </row>
    <row r="521" customFormat="false" ht="15" hidden="false" customHeight="false" outlineLevel="0" collapsed="false">
      <c r="A521" s="2" t="n">
        <v>390401200</v>
      </c>
      <c r="B521" s="2" t="s">
        <v>707</v>
      </c>
      <c r="C521" s="3"/>
      <c r="D521" s="3"/>
      <c r="E521" s="3" t="n">
        <f aca="false">D521-C521</f>
        <v>0</v>
      </c>
    </row>
    <row r="522" customFormat="false" ht="15" hidden="false" customHeight="false" outlineLevel="0" collapsed="false">
      <c r="A522" s="2" t="n">
        <v>390401300</v>
      </c>
      <c r="B522" s="2" t="s">
        <v>708</v>
      </c>
      <c r="C522" s="3"/>
      <c r="D522" s="3"/>
      <c r="E522" s="3" t="n">
        <f aca="false">D522-C522</f>
        <v>0</v>
      </c>
    </row>
    <row r="523" customFormat="false" ht="15" hidden="false" customHeight="false" outlineLevel="0" collapsed="false">
      <c r="A523" s="2" t="n">
        <v>390405000</v>
      </c>
      <c r="B523" s="2" t="s">
        <v>709</v>
      </c>
      <c r="C523" s="3"/>
      <c r="D523" s="3"/>
      <c r="E523" s="3" t="n">
        <f aca="false">D523-C523</f>
        <v>0</v>
      </c>
    </row>
    <row r="524" customFormat="false" ht="15" hidden="false" customHeight="false" outlineLevel="0" collapsed="false">
      <c r="A524" s="2" t="n">
        <v>390406000</v>
      </c>
      <c r="B524" s="2" t="s">
        <v>710</v>
      </c>
      <c r="C524" s="3"/>
      <c r="D524" s="3"/>
      <c r="E524" s="3" t="n">
        <f aca="false">D524-C524</f>
        <v>0</v>
      </c>
    </row>
    <row r="525" customFormat="false" ht="15" hidden="false" customHeight="false" outlineLevel="0" collapsed="false">
      <c r="A525" s="2" t="n">
        <v>390407000</v>
      </c>
      <c r="B525" s="2" t="s">
        <v>711</v>
      </c>
      <c r="C525" s="3"/>
      <c r="D525" s="3"/>
      <c r="E525" s="3" t="n">
        <f aca="false">D525-C525</f>
        <v>0</v>
      </c>
    </row>
    <row r="526" customFormat="false" ht="15" hidden="false" customHeight="false" outlineLevel="0" collapsed="false">
      <c r="A526" s="2" t="n">
        <v>390408000</v>
      </c>
      <c r="B526" s="2" t="s">
        <v>712</v>
      </c>
      <c r="C526" s="3"/>
      <c r="D526" s="3"/>
      <c r="E526" s="3" t="n">
        <f aca="false">D526-C526</f>
        <v>0</v>
      </c>
    </row>
    <row r="527" customFormat="false" ht="15" hidden="false" customHeight="false" outlineLevel="0" collapsed="false">
      <c r="A527" s="2" t="n">
        <v>390409000</v>
      </c>
      <c r="B527" s="2" t="s">
        <v>713</v>
      </c>
      <c r="C527" s="3"/>
      <c r="D527" s="3"/>
      <c r="E527" s="3" t="n">
        <f aca="false">D527-C527</f>
        <v>0</v>
      </c>
    </row>
    <row r="528" customFormat="false" ht="15" hidden="false" customHeight="false" outlineLevel="0" collapsed="false">
      <c r="A528" s="2" t="n">
        <v>390500000</v>
      </c>
      <c r="B528" s="2" t="s">
        <v>714</v>
      </c>
      <c r="C528" s="3"/>
      <c r="D528" s="3"/>
      <c r="E528" s="3" t="n">
        <f aca="false">D528-C528</f>
        <v>0</v>
      </c>
    </row>
    <row r="529" customFormat="false" ht="15" hidden="false" customHeight="false" outlineLevel="0" collapsed="false">
      <c r="A529" s="2" t="n">
        <v>390501000</v>
      </c>
      <c r="B529" s="2" t="s">
        <v>715</v>
      </c>
      <c r="C529" s="3"/>
      <c r="D529" s="3"/>
      <c r="E529" s="3" t="n">
        <f aca="false">D529-C529</f>
        <v>0</v>
      </c>
    </row>
    <row r="530" customFormat="false" ht="15" hidden="false" customHeight="false" outlineLevel="0" collapsed="false">
      <c r="A530" s="2" t="n">
        <v>390501100</v>
      </c>
      <c r="B530" s="2" t="s">
        <v>716</v>
      </c>
      <c r="C530" s="3"/>
      <c r="D530" s="3"/>
      <c r="E530" s="3" t="n">
        <f aca="false">D530-C530</f>
        <v>0</v>
      </c>
    </row>
    <row r="531" customFormat="false" ht="15" hidden="false" customHeight="false" outlineLevel="0" collapsed="false">
      <c r="A531" s="2" t="n">
        <v>390501200</v>
      </c>
      <c r="B531" s="2" t="s">
        <v>717</v>
      </c>
      <c r="C531" s="3"/>
      <c r="D531" s="3"/>
      <c r="E531" s="3" t="n">
        <f aca="false">D531-C531</f>
        <v>0</v>
      </c>
    </row>
    <row r="532" customFormat="false" ht="15" hidden="false" customHeight="false" outlineLevel="0" collapsed="false">
      <c r="A532" s="2" t="n">
        <v>390501300</v>
      </c>
      <c r="B532" s="2" t="s">
        <v>718</v>
      </c>
      <c r="C532" s="3"/>
      <c r="D532" s="3"/>
      <c r="E532" s="3" t="n">
        <f aca="false">D532-C532</f>
        <v>0</v>
      </c>
    </row>
    <row r="533" customFormat="false" ht="15" hidden="false" customHeight="false" outlineLevel="0" collapsed="false">
      <c r="A533" s="2" t="n">
        <v>390506000</v>
      </c>
      <c r="B533" s="2" t="s">
        <v>719</v>
      </c>
      <c r="C533" s="3"/>
      <c r="D533" s="3"/>
      <c r="E533" s="3" t="n">
        <f aca="false">D533-C533</f>
        <v>0</v>
      </c>
    </row>
    <row r="534" customFormat="false" ht="15" hidden="false" customHeight="false" outlineLevel="0" collapsed="false">
      <c r="A534" s="2" t="n">
        <v>390507000</v>
      </c>
      <c r="B534" s="2" t="s">
        <v>720</v>
      </c>
      <c r="C534" s="3"/>
      <c r="D534" s="3"/>
      <c r="E534" s="3" t="n">
        <f aca="false">D534-C534</f>
        <v>0</v>
      </c>
    </row>
    <row r="535" customFormat="false" ht="15" hidden="false" customHeight="false" outlineLevel="0" collapsed="false">
      <c r="A535" s="2" t="n">
        <v>390508000</v>
      </c>
      <c r="B535" s="2" t="s">
        <v>721</v>
      </c>
      <c r="C535" s="3"/>
      <c r="D535" s="3"/>
      <c r="E535" s="3" t="n">
        <f aca="false">D535-C535</f>
        <v>0</v>
      </c>
    </row>
    <row r="536" customFormat="false" ht="15" hidden="false" customHeight="false" outlineLevel="0" collapsed="false">
      <c r="A536" s="2" t="n">
        <v>390509000</v>
      </c>
      <c r="B536" s="2" t="s">
        <v>722</v>
      </c>
      <c r="C536" s="3"/>
      <c r="D536" s="3"/>
      <c r="E536" s="3" t="n">
        <f aca="false">D536-C536</f>
        <v>0</v>
      </c>
    </row>
    <row r="537" customFormat="false" ht="15" hidden="false" customHeight="false" outlineLevel="0" collapsed="false">
      <c r="A537" s="2" t="n">
        <v>390600000</v>
      </c>
      <c r="B537" s="2" t="s">
        <v>723</v>
      </c>
      <c r="C537" s="3"/>
      <c r="D537" s="3"/>
      <c r="E537" s="3" t="n">
        <f aca="false">D537-C537</f>
        <v>0</v>
      </c>
    </row>
    <row r="538" customFormat="false" ht="15" hidden="false" customHeight="false" outlineLevel="0" collapsed="false">
      <c r="A538" s="2" t="n">
        <v>390601000</v>
      </c>
      <c r="B538" s="2" t="s">
        <v>724</v>
      </c>
      <c r="C538" s="3"/>
      <c r="D538" s="3"/>
      <c r="E538" s="3" t="n">
        <f aca="false">D538-C538</f>
        <v>0</v>
      </c>
    </row>
    <row r="539" customFormat="false" ht="15" hidden="false" customHeight="false" outlineLevel="0" collapsed="false">
      <c r="A539" s="2" t="n">
        <v>390601100</v>
      </c>
      <c r="B539" s="2" t="s">
        <v>725</v>
      </c>
      <c r="C539" s="3"/>
      <c r="D539" s="3"/>
      <c r="E539" s="3" t="n">
        <f aca="false">D539-C539</f>
        <v>0</v>
      </c>
    </row>
    <row r="540" customFormat="false" ht="15" hidden="false" customHeight="false" outlineLevel="0" collapsed="false">
      <c r="A540" s="2" t="n">
        <v>390601200</v>
      </c>
      <c r="B540" s="2" t="s">
        <v>726</v>
      </c>
      <c r="C540" s="3"/>
      <c r="D540" s="3"/>
      <c r="E540" s="3" t="n">
        <f aca="false">D540-C540</f>
        <v>0</v>
      </c>
    </row>
    <row r="541" customFormat="false" ht="15" hidden="false" customHeight="false" outlineLevel="0" collapsed="false">
      <c r="A541" s="2" t="n">
        <v>390601300</v>
      </c>
      <c r="B541" s="2" t="s">
        <v>727</v>
      </c>
      <c r="C541" s="3"/>
      <c r="D541" s="3"/>
      <c r="E541" s="3" t="n">
        <f aca="false">D541-C541</f>
        <v>0</v>
      </c>
    </row>
    <row r="542" customFormat="false" ht="15" hidden="false" customHeight="false" outlineLevel="0" collapsed="false">
      <c r="A542" s="2" t="n">
        <v>390607000</v>
      </c>
      <c r="B542" s="2" t="s">
        <v>728</v>
      </c>
      <c r="C542" s="3"/>
      <c r="D542" s="3"/>
      <c r="E542" s="3" t="n">
        <f aca="false">D542-C542</f>
        <v>0</v>
      </c>
    </row>
    <row r="543" customFormat="false" ht="15" hidden="false" customHeight="false" outlineLevel="0" collapsed="false">
      <c r="A543" s="2" t="n">
        <v>390608000</v>
      </c>
      <c r="B543" s="2" t="s">
        <v>729</v>
      </c>
      <c r="C543" s="3"/>
      <c r="D543" s="3"/>
      <c r="E543" s="3" t="n">
        <f aca="false">D543-C543</f>
        <v>0</v>
      </c>
    </row>
    <row r="544" customFormat="false" ht="15" hidden="false" customHeight="false" outlineLevel="0" collapsed="false">
      <c r="A544" s="2" t="n">
        <v>390609000</v>
      </c>
      <c r="B544" s="2" t="s">
        <v>730</v>
      </c>
      <c r="C544" s="3"/>
      <c r="D544" s="3"/>
      <c r="E544" s="3" t="n">
        <f aca="false">D544-C544</f>
        <v>0</v>
      </c>
    </row>
    <row r="545" customFormat="false" ht="15" hidden="false" customHeight="false" outlineLevel="0" collapsed="false">
      <c r="A545" s="2" t="n">
        <v>390700000</v>
      </c>
      <c r="B545" s="2" t="s">
        <v>731</v>
      </c>
      <c r="C545" s="3"/>
      <c r="D545" s="3"/>
      <c r="E545" s="3" t="n">
        <f aca="false">D545-C545</f>
        <v>0</v>
      </c>
    </row>
    <row r="546" customFormat="false" ht="15" hidden="false" customHeight="false" outlineLevel="0" collapsed="false">
      <c r="A546" s="2" t="n">
        <v>390701000</v>
      </c>
      <c r="B546" s="2" t="s">
        <v>732</v>
      </c>
      <c r="C546" s="3"/>
      <c r="D546" s="3"/>
      <c r="E546" s="3" t="n">
        <f aca="false">D546-C546</f>
        <v>0</v>
      </c>
    </row>
    <row r="547" customFormat="false" ht="15" hidden="false" customHeight="false" outlineLevel="0" collapsed="false">
      <c r="A547" s="2" t="n">
        <v>390701100</v>
      </c>
      <c r="B547" s="2" t="s">
        <v>733</v>
      </c>
      <c r="C547" s="3"/>
      <c r="D547" s="3"/>
      <c r="E547" s="3" t="n">
        <f aca="false">D547-C547</f>
        <v>0</v>
      </c>
    </row>
    <row r="548" customFormat="false" ht="15" hidden="false" customHeight="false" outlineLevel="0" collapsed="false">
      <c r="A548" s="2" t="n">
        <v>390701200</v>
      </c>
      <c r="B548" s="2" t="s">
        <v>734</v>
      </c>
      <c r="C548" s="3"/>
      <c r="D548" s="3"/>
      <c r="E548" s="3" t="n">
        <f aca="false">D548-C548</f>
        <v>0</v>
      </c>
    </row>
    <row r="549" customFormat="false" ht="15" hidden="false" customHeight="false" outlineLevel="0" collapsed="false">
      <c r="A549" s="2" t="n">
        <v>390701300</v>
      </c>
      <c r="B549" s="2" t="s">
        <v>735</v>
      </c>
      <c r="C549" s="3"/>
      <c r="D549" s="3"/>
      <c r="E549" s="3" t="n">
        <f aca="false">D549-C549</f>
        <v>0</v>
      </c>
    </row>
    <row r="550" customFormat="false" ht="15" hidden="false" customHeight="false" outlineLevel="0" collapsed="false">
      <c r="A550" s="2" t="n">
        <v>390708000</v>
      </c>
      <c r="B550" s="2" t="s">
        <v>736</v>
      </c>
      <c r="C550" s="3"/>
      <c r="D550" s="3"/>
      <c r="E550" s="3" t="n">
        <f aca="false">D550-C550</f>
        <v>0</v>
      </c>
    </row>
    <row r="551" customFormat="false" ht="15" hidden="false" customHeight="false" outlineLevel="0" collapsed="false">
      <c r="A551" s="2" t="n">
        <v>390801000</v>
      </c>
      <c r="B551" s="2" t="s">
        <v>737</v>
      </c>
      <c r="C551" s="3"/>
      <c r="D551" s="3"/>
      <c r="E551" s="3" t="n">
        <f aca="false">D551-C551</f>
        <v>0</v>
      </c>
    </row>
    <row r="552" customFormat="false" ht="15" hidden="false" customHeight="false" outlineLevel="0" collapsed="false">
      <c r="A552" s="2" t="n">
        <v>390801100</v>
      </c>
      <c r="B552" s="2" t="s">
        <v>738</v>
      </c>
      <c r="C552" s="3"/>
      <c r="D552" s="3"/>
      <c r="E552" s="3" t="n">
        <f aca="false">D552-C552</f>
        <v>0</v>
      </c>
    </row>
    <row r="553" customFormat="false" ht="15" hidden="false" customHeight="false" outlineLevel="0" collapsed="false">
      <c r="A553" s="2" t="n">
        <v>390801200</v>
      </c>
      <c r="B553" s="2" t="s">
        <v>739</v>
      </c>
      <c r="C553" s="3"/>
      <c r="D553" s="3"/>
      <c r="E553" s="3" t="n">
        <f aca="false">D553-C553</f>
        <v>0</v>
      </c>
    </row>
    <row r="554" customFormat="false" ht="15" hidden="false" customHeight="false" outlineLevel="0" collapsed="false">
      <c r="A554" s="2" t="n">
        <v>390801300</v>
      </c>
      <c r="B554" s="2" t="s">
        <v>740</v>
      </c>
      <c r="C554" s="3"/>
      <c r="D554" s="3"/>
      <c r="E554" s="3" t="n">
        <f aca="false">D554-C554</f>
        <v>0</v>
      </c>
    </row>
    <row r="555" customFormat="false" ht="15" hidden="false" customHeight="false" outlineLevel="0" collapsed="false">
      <c r="A555" s="2" t="n">
        <v>390809000</v>
      </c>
      <c r="B555" s="2" t="s">
        <v>741</v>
      </c>
      <c r="C555" s="3"/>
      <c r="D555" s="3"/>
      <c r="E555" s="3" t="n">
        <f aca="false">D555-C555</f>
        <v>0</v>
      </c>
    </row>
    <row r="556" customFormat="false" ht="15" hidden="false" customHeight="false" outlineLevel="0" collapsed="false">
      <c r="A556" s="2" t="n">
        <v>390900000</v>
      </c>
      <c r="B556" s="2" t="s">
        <v>742</v>
      </c>
      <c r="C556" s="3"/>
      <c r="D556" s="3"/>
      <c r="E556" s="3" t="n">
        <f aca="false">D556-C556</f>
        <v>0</v>
      </c>
    </row>
    <row r="557" customFormat="false" ht="15" hidden="false" customHeight="false" outlineLevel="0" collapsed="false">
      <c r="A557" s="2" t="n">
        <v>390901000</v>
      </c>
      <c r="B557" s="2" t="s">
        <v>743</v>
      </c>
      <c r="C557" s="3"/>
      <c r="D557" s="3"/>
      <c r="E557" s="3" t="n">
        <f aca="false">D557-C557</f>
        <v>0</v>
      </c>
    </row>
    <row r="558" customFormat="false" ht="15" hidden="false" customHeight="false" outlineLevel="0" collapsed="false">
      <c r="A558" s="2" t="n">
        <v>390901100</v>
      </c>
      <c r="B558" s="2" t="s">
        <v>744</v>
      </c>
      <c r="C558" s="3"/>
      <c r="D558" s="3"/>
      <c r="E558" s="3" t="n">
        <f aca="false">D558-C558</f>
        <v>0</v>
      </c>
    </row>
    <row r="559" customFormat="false" ht="15" hidden="false" customHeight="false" outlineLevel="0" collapsed="false">
      <c r="A559" s="2" t="n">
        <v>390901200</v>
      </c>
      <c r="B559" s="2" t="s">
        <v>745</v>
      </c>
      <c r="C559" s="3"/>
      <c r="D559" s="3"/>
      <c r="E559" s="3" t="n">
        <f aca="false">D559-C559</f>
        <v>0</v>
      </c>
    </row>
    <row r="560" customFormat="false" ht="15" hidden="false" customHeight="false" outlineLevel="0" collapsed="false">
      <c r="A560" s="2" t="n">
        <v>390901300</v>
      </c>
      <c r="B560" s="2" t="s">
        <v>746</v>
      </c>
      <c r="C560" s="3"/>
      <c r="D560" s="3"/>
      <c r="E560" s="3" t="n">
        <f aca="false">D560-C560</f>
        <v>0</v>
      </c>
    </row>
    <row r="561" customFormat="false" ht="15" hidden="false" customHeight="false" outlineLevel="0" collapsed="false">
      <c r="A561" s="2" t="n">
        <v>410220000</v>
      </c>
      <c r="B561" s="2" t="s">
        <v>747</v>
      </c>
      <c r="C561" s="3" t="n">
        <v>7409570000</v>
      </c>
      <c r="D561" s="3"/>
      <c r="E561" s="3" t="n">
        <f aca="false">D561-C561</f>
        <v>-7409570000</v>
      </c>
    </row>
    <row r="562" customFormat="false" ht="15" hidden="false" customHeight="false" outlineLevel="0" collapsed="false">
      <c r="A562" s="2" t="n">
        <v>410700000</v>
      </c>
      <c r="B562" s="2" t="s">
        <v>501</v>
      </c>
      <c r="C562" s="3" t="n">
        <v>198989398</v>
      </c>
      <c r="D562" s="3"/>
      <c r="E562" s="3" t="n">
        <f aca="false">D562-C562</f>
        <v>-198989398</v>
      </c>
    </row>
    <row r="563" customFormat="false" ht="15" hidden="false" customHeight="false" outlineLevel="0" collapsed="false">
      <c r="A563" s="2" t="n">
        <v>412200000</v>
      </c>
      <c r="B563" s="2" t="s">
        <v>748</v>
      </c>
      <c r="C563" s="3" t="n">
        <v>4100000000</v>
      </c>
      <c r="D563" s="3"/>
      <c r="E563" s="3" t="n">
        <f aca="false">D563-C563</f>
        <v>-4100000000</v>
      </c>
    </row>
    <row r="564" customFormat="false" ht="15" hidden="false" customHeight="false" outlineLevel="0" collapsed="false">
      <c r="A564" s="2" t="n">
        <v>412500000</v>
      </c>
      <c r="B564" s="2" t="s">
        <v>749</v>
      </c>
      <c r="C564" s="3"/>
      <c r="D564" s="3"/>
      <c r="E564" s="3" t="n">
        <f aca="false">D564-C564</f>
        <v>0</v>
      </c>
    </row>
    <row r="565" customFormat="false" ht="15" hidden="false" customHeight="false" outlineLevel="0" collapsed="false">
      <c r="A565" s="2" t="n">
        <v>412900000</v>
      </c>
      <c r="B565" s="2" t="s">
        <v>750</v>
      </c>
      <c r="C565" s="3"/>
      <c r="D565" s="3"/>
      <c r="E565" s="3" t="n">
        <f aca="false">D565-C565</f>
        <v>0</v>
      </c>
    </row>
    <row r="566" customFormat="false" ht="15" hidden="false" customHeight="false" outlineLevel="0" collapsed="false">
      <c r="A566" s="2" t="n">
        <v>421000000</v>
      </c>
      <c r="B566" s="2" t="s">
        <v>751</v>
      </c>
      <c r="C566" s="3" t="n">
        <v>28139885</v>
      </c>
      <c r="D566" s="3"/>
      <c r="E566" s="3" t="n">
        <f aca="false">D566-C566</f>
        <v>-28139885</v>
      </c>
    </row>
    <row r="567" customFormat="false" ht="15" hidden="false" customHeight="false" outlineLevel="0" collapsed="false">
      <c r="A567" s="2" t="n">
        <v>422000000</v>
      </c>
      <c r="B567" s="2" t="s">
        <v>752</v>
      </c>
      <c r="C567" s="3" t="n">
        <v>6676623</v>
      </c>
      <c r="D567" s="3"/>
      <c r="E567" s="3" t="n">
        <f aca="false">D567-C567</f>
        <v>-6676623</v>
      </c>
    </row>
    <row r="568" customFormat="false" ht="15" hidden="false" customHeight="false" outlineLevel="0" collapsed="false">
      <c r="A568" s="2" t="n">
        <v>423000000</v>
      </c>
      <c r="B568" s="2" t="s">
        <v>753</v>
      </c>
      <c r="C568" s="3" t="n">
        <v>1003037</v>
      </c>
      <c r="D568" s="3"/>
      <c r="E568" s="3" t="n">
        <f aca="false">D568-C568</f>
        <v>-1003037</v>
      </c>
    </row>
    <row r="569" customFormat="false" ht="15" hidden="false" customHeight="false" outlineLevel="0" collapsed="false">
      <c r="A569" s="2" t="n">
        <v>425000000</v>
      </c>
      <c r="B569" s="2" t="s">
        <v>754</v>
      </c>
      <c r="C569" s="3" t="n">
        <v>1188000</v>
      </c>
      <c r="D569" s="3"/>
      <c r="E569" s="3" t="n">
        <f aca="false">D569-C569</f>
        <v>-1188000</v>
      </c>
    </row>
    <row r="570" customFormat="false" ht="15" hidden="false" customHeight="false" outlineLevel="0" collapsed="false">
      <c r="A570" s="2" t="n">
        <v>428000000</v>
      </c>
      <c r="B570" s="2" t="s">
        <v>755</v>
      </c>
      <c r="C570" s="3" t="n">
        <v>16315831</v>
      </c>
      <c r="D570" s="3"/>
      <c r="E570" s="3" t="n">
        <f aca="false">D570-C570</f>
        <v>-16315831</v>
      </c>
    </row>
    <row r="571" customFormat="false" ht="15" hidden="false" customHeight="false" outlineLevel="0" collapsed="false">
      <c r="A571" s="2" t="n">
        <v>429000000</v>
      </c>
      <c r="B571" s="2" t="s">
        <v>756</v>
      </c>
      <c r="C571" s="3"/>
      <c r="D571" s="3" t="n">
        <v>8900000</v>
      </c>
      <c r="E571" s="3" t="n">
        <f aca="false">D571-C571</f>
        <v>8900000</v>
      </c>
    </row>
    <row r="572" customFormat="false" ht="15" hidden="false" customHeight="false" outlineLevel="0" collapsed="false">
      <c r="A572" s="2" t="n">
        <v>432120000</v>
      </c>
      <c r="B572" s="2" t="s">
        <v>757</v>
      </c>
      <c r="C572" s="3" t="n">
        <v>2465938470</v>
      </c>
      <c r="D572" s="3"/>
      <c r="E572" s="3" t="n">
        <f aca="false">D572-C572</f>
        <v>-2465938470</v>
      </c>
    </row>
    <row r="573" customFormat="false" ht="15" hidden="false" customHeight="false" outlineLevel="0" collapsed="false">
      <c r="A573" s="2" t="n">
        <v>432134000</v>
      </c>
      <c r="B573" s="2" t="s">
        <v>758</v>
      </c>
      <c r="C573" s="3" t="n">
        <v>268047206</v>
      </c>
      <c r="D573" s="3"/>
      <c r="E573" s="3" t="n">
        <f aca="false">D573-C573</f>
        <v>-268047206</v>
      </c>
    </row>
    <row r="574" customFormat="false" ht="15" hidden="false" customHeight="false" outlineLevel="0" collapsed="false">
      <c r="A574" s="2" t="n">
        <v>432137000</v>
      </c>
      <c r="B574" s="2" t="s">
        <v>759</v>
      </c>
      <c r="C574" s="3"/>
      <c r="D574" s="3"/>
      <c r="E574" s="3" t="n">
        <f aca="false">D574-C574</f>
        <v>0</v>
      </c>
    </row>
    <row r="575" customFormat="false" ht="15" hidden="false" customHeight="false" outlineLevel="0" collapsed="false">
      <c r="A575" s="2" t="n">
        <v>441310000</v>
      </c>
      <c r="B575" s="2" t="s">
        <v>760</v>
      </c>
      <c r="C575" s="3" t="n">
        <v>468043416</v>
      </c>
      <c r="D575" s="3"/>
      <c r="E575" s="3" t="n">
        <f aca="false">D575-C575</f>
        <v>-468043416</v>
      </c>
    </row>
    <row r="576" customFormat="false" ht="15" hidden="false" customHeight="false" outlineLevel="0" collapsed="false">
      <c r="A576" s="2" t="n">
        <v>441831000</v>
      </c>
      <c r="B576" s="2" t="s">
        <v>761</v>
      </c>
      <c r="C576" s="3"/>
      <c r="D576" s="3" t="n">
        <v>426830654</v>
      </c>
      <c r="E576" s="3" t="n">
        <f aca="false">D576-C576</f>
        <v>426830654</v>
      </c>
    </row>
    <row r="577" customFormat="false" ht="15" hidden="false" customHeight="false" outlineLevel="0" collapsed="false">
      <c r="A577" s="2" t="n">
        <v>442112000</v>
      </c>
      <c r="B577" s="2" t="s">
        <v>762</v>
      </c>
      <c r="C577" s="3" t="n">
        <v>40971960</v>
      </c>
      <c r="D577" s="3"/>
      <c r="E577" s="3" t="n">
        <f aca="false">D577-C577</f>
        <v>-40971960</v>
      </c>
    </row>
    <row r="578" customFormat="false" ht="15" hidden="false" customHeight="false" outlineLevel="0" collapsed="false">
      <c r="A578" s="2" t="n">
        <v>442113000</v>
      </c>
      <c r="B578" s="2" t="s">
        <v>763</v>
      </c>
      <c r="C578" s="3" t="n">
        <v>277499533</v>
      </c>
      <c r="D578" s="3"/>
      <c r="E578" s="3" t="n">
        <f aca="false">D578-C578</f>
        <v>-277499533</v>
      </c>
    </row>
    <row r="579" customFormat="false" ht="15" hidden="false" customHeight="false" outlineLevel="0" collapsed="false">
      <c r="A579" s="2" t="n">
        <v>442121000</v>
      </c>
      <c r="B579" s="2" t="s">
        <v>764</v>
      </c>
      <c r="C579" s="3" t="n">
        <v>2790764312</v>
      </c>
      <c r="D579" s="3"/>
      <c r="E579" s="3" t="n">
        <f aca="false">D579-C579</f>
        <v>-2790764312</v>
      </c>
    </row>
    <row r="580" customFormat="false" ht="15" hidden="false" customHeight="false" outlineLevel="0" collapsed="false">
      <c r="A580" s="2" t="n">
        <v>442124000</v>
      </c>
      <c r="B580" s="2" t="s">
        <v>765</v>
      </c>
      <c r="C580" s="3" t="n">
        <v>329584846</v>
      </c>
      <c r="D580" s="3"/>
      <c r="E580" s="3" t="n">
        <f aca="false">D580-C580</f>
        <v>-329584846</v>
      </c>
    </row>
    <row r="581" customFormat="false" ht="15" hidden="false" customHeight="false" outlineLevel="0" collapsed="false">
      <c r="A581" s="2" t="n">
        <v>442125000</v>
      </c>
      <c r="B581" s="2" t="s">
        <v>766</v>
      </c>
      <c r="C581" s="3" t="n">
        <v>552203984</v>
      </c>
      <c r="D581" s="3"/>
      <c r="E581" s="3" t="n">
        <f aca="false">D581-C581</f>
        <v>-552203984</v>
      </c>
    </row>
    <row r="582" customFormat="false" ht="15" hidden="false" customHeight="false" outlineLevel="0" collapsed="false">
      <c r="A582" s="2" t="n">
        <v>442131000</v>
      </c>
      <c r="B582" s="2" t="s">
        <v>767</v>
      </c>
      <c r="C582" s="3" t="n">
        <v>892028404</v>
      </c>
      <c r="D582" s="3"/>
      <c r="E582" s="3" t="n">
        <f aca="false">D582-C582</f>
        <v>-892028404</v>
      </c>
    </row>
    <row r="583" customFormat="false" ht="15" hidden="false" customHeight="false" outlineLevel="0" collapsed="false">
      <c r="A583" s="2" t="n">
        <v>442134000</v>
      </c>
      <c r="B583" s="2" t="s">
        <v>768</v>
      </c>
      <c r="C583" s="3" t="n">
        <v>506267253</v>
      </c>
      <c r="D583" s="3"/>
      <c r="E583" s="3" t="n">
        <f aca="false">D583-C583</f>
        <v>-506267253</v>
      </c>
    </row>
    <row r="584" customFormat="false" ht="15" hidden="false" customHeight="false" outlineLevel="0" collapsed="false">
      <c r="A584" s="2" t="n">
        <v>442134100</v>
      </c>
      <c r="B584" s="2" t="s">
        <v>769</v>
      </c>
      <c r="C584" s="3" t="n">
        <v>503224570</v>
      </c>
      <c r="D584" s="3"/>
      <c r="E584" s="3" t="n">
        <f aca="false">D584-C584</f>
        <v>-503224570</v>
      </c>
    </row>
    <row r="585" customFormat="false" ht="15" hidden="false" customHeight="false" outlineLevel="0" collapsed="false">
      <c r="A585" s="2" t="n">
        <v>442135000</v>
      </c>
      <c r="B585" s="2" t="s">
        <v>770</v>
      </c>
      <c r="C585" s="3" t="n">
        <v>1492394376</v>
      </c>
      <c r="D585" s="3"/>
      <c r="E585" s="3" t="n">
        <f aca="false">D585-C585</f>
        <v>-1492394376</v>
      </c>
    </row>
    <row r="586" customFormat="false" ht="15" hidden="false" customHeight="false" outlineLevel="0" collapsed="false">
      <c r="A586" s="2" t="n">
        <v>442821000</v>
      </c>
      <c r="B586" s="2" t="s">
        <v>771</v>
      </c>
      <c r="C586" s="3"/>
      <c r="D586" s="3" t="n">
        <v>2185496041</v>
      </c>
      <c r="E586" s="3" t="n">
        <f aca="false">D586-C586</f>
        <v>2185496041</v>
      </c>
    </row>
    <row r="587" customFormat="false" ht="15" hidden="false" customHeight="false" outlineLevel="0" collapsed="false">
      <c r="A587" s="2" t="n">
        <v>442824000</v>
      </c>
      <c r="B587" s="2" t="s">
        <v>772</v>
      </c>
      <c r="C587" s="3"/>
      <c r="D587" s="3" t="n">
        <v>198926099</v>
      </c>
      <c r="E587" s="3" t="n">
        <f aca="false">D587-C587</f>
        <v>198926099</v>
      </c>
    </row>
    <row r="588" customFormat="false" ht="15" hidden="false" customHeight="false" outlineLevel="0" collapsed="false">
      <c r="A588" s="2" t="n">
        <v>442825000</v>
      </c>
      <c r="B588" s="2" t="s">
        <v>773</v>
      </c>
      <c r="C588" s="3"/>
      <c r="D588" s="3" t="n">
        <v>219138223</v>
      </c>
      <c r="E588" s="3" t="n">
        <f aca="false">D588-C588</f>
        <v>219138223</v>
      </c>
    </row>
    <row r="589" customFormat="false" ht="15" hidden="false" customHeight="false" outlineLevel="0" collapsed="false">
      <c r="A589" s="2" t="n">
        <v>442831000</v>
      </c>
      <c r="B589" s="2" t="s">
        <v>774</v>
      </c>
      <c r="C589" s="3"/>
      <c r="D589" s="3" t="n">
        <v>448953396</v>
      </c>
      <c r="E589" s="3" t="n">
        <f aca="false">D589-C589</f>
        <v>448953396</v>
      </c>
    </row>
    <row r="590" customFormat="false" ht="15" hidden="false" customHeight="false" outlineLevel="0" collapsed="false">
      <c r="A590" s="2" t="n">
        <v>442834000</v>
      </c>
      <c r="B590" s="2" t="s">
        <v>775</v>
      </c>
      <c r="C590" s="3"/>
      <c r="D590" s="3" t="n">
        <v>290797086</v>
      </c>
      <c r="E590" s="3" t="n">
        <f aca="false">D590-C590</f>
        <v>290797086</v>
      </c>
    </row>
    <row r="591" customFormat="false" ht="15" hidden="false" customHeight="false" outlineLevel="0" collapsed="false">
      <c r="A591" s="2" t="n">
        <v>442834100</v>
      </c>
      <c r="B591" s="2" t="s">
        <v>776</v>
      </c>
      <c r="C591" s="3"/>
      <c r="D591" s="3" t="n">
        <v>368711043</v>
      </c>
      <c r="E591" s="3" t="n">
        <f aca="false">D591-C591</f>
        <v>368711043</v>
      </c>
    </row>
    <row r="592" customFormat="false" ht="15" hidden="false" customHeight="false" outlineLevel="0" collapsed="false">
      <c r="A592" s="2" t="n">
        <v>442835000</v>
      </c>
      <c r="B592" s="2" t="s">
        <v>777</v>
      </c>
      <c r="C592" s="3"/>
      <c r="D592" s="3" t="n">
        <v>923928333</v>
      </c>
      <c r="E592" s="3" t="n">
        <f aca="false">D592-C592</f>
        <v>923928333</v>
      </c>
    </row>
    <row r="593" customFormat="false" ht="15" hidden="false" customHeight="false" outlineLevel="0" collapsed="false">
      <c r="A593" s="2" t="n">
        <v>454112000</v>
      </c>
      <c r="B593" s="2" t="s">
        <v>778</v>
      </c>
      <c r="C593" s="3" t="n">
        <v>1206410501</v>
      </c>
      <c r="D593" s="3"/>
      <c r="E593" s="3" t="n">
        <f aca="false">D593-C593</f>
        <v>-1206410501</v>
      </c>
    </row>
    <row r="594" customFormat="false" ht="15" hidden="false" customHeight="false" outlineLevel="0" collapsed="false">
      <c r="A594" s="2" t="n">
        <v>454121000</v>
      </c>
      <c r="B594" s="2" t="s">
        <v>779</v>
      </c>
      <c r="C594" s="3" t="n">
        <v>7753263608</v>
      </c>
      <c r="D594" s="3"/>
      <c r="E594" s="3" t="n">
        <f aca="false">D594-C594</f>
        <v>-7753263608</v>
      </c>
    </row>
    <row r="595" customFormat="false" ht="15" hidden="false" customHeight="false" outlineLevel="0" collapsed="false">
      <c r="A595" s="2" t="n">
        <v>454800000</v>
      </c>
      <c r="B595" s="2" t="s">
        <v>780</v>
      </c>
      <c r="C595" s="3"/>
      <c r="D595" s="3" t="n">
        <v>538122751</v>
      </c>
      <c r="E595" s="3" t="n">
        <f aca="false">D595-C595</f>
        <v>538122751</v>
      </c>
    </row>
    <row r="596" customFormat="false" ht="15" hidden="false" customHeight="false" outlineLevel="0" collapsed="false">
      <c r="A596" s="2" t="n">
        <v>454810000</v>
      </c>
      <c r="B596" s="2" t="s">
        <v>781</v>
      </c>
      <c r="C596" s="3"/>
      <c r="D596" s="3"/>
      <c r="E596" s="3" t="n">
        <f aca="false">D596-C596</f>
        <v>0</v>
      </c>
    </row>
    <row r="597" customFormat="false" ht="15" hidden="false" customHeight="false" outlineLevel="0" collapsed="false">
      <c r="A597" s="2" t="n">
        <v>501110000</v>
      </c>
      <c r="B597" s="2" t="s">
        <v>782</v>
      </c>
      <c r="C597" s="3"/>
      <c r="D597" s="3" t="n">
        <v>3038206</v>
      </c>
      <c r="E597" s="3" t="n">
        <f aca="false">D597-C597</f>
        <v>3038206</v>
      </c>
    </row>
    <row r="598" customFormat="false" ht="15" hidden="false" customHeight="false" outlineLevel="0" collapsed="false">
      <c r="A598" s="2" t="n">
        <v>501121000</v>
      </c>
      <c r="B598" s="2" t="s">
        <v>783</v>
      </c>
      <c r="C598" s="3"/>
      <c r="D598" s="3"/>
      <c r="E598" s="3" t="n">
        <f aca="false">D598-C598</f>
        <v>0</v>
      </c>
    </row>
    <row r="599" customFormat="false" ht="15" hidden="false" customHeight="false" outlineLevel="0" collapsed="false">
      <c r="A599" s="2" t="n">
        <v>501220000</v>
      </c>
      <c r="B599" s="2" t="s">
        <v>784</v>
      </c>
      <c r="C599" s="3"/>
      <c r="D599" s="3"/>
      <c r="E599" s="3" t="n">
        <f aca="false">D599-C599</f>
        <v>0</v>
      </c>
    </row>
    <row r="600" customFormat="false" ht="15" hidden="false" customHeight="false" outlineLevel="0" collapsed="false">
      <c r="A600" s="2" t="n">
        <v>502200000</v>
      </c>
      <c r="B600" s="2" t="s">
        <v>785</v>
      </c>
      <c r="C600" s="3"/>
      <c r="D600" s="3"/>
      <c r="E600" s="3" t="n">
        <f aca="false">D600-C600</f>
        <v>0</v>
      </c>
    </row>
    <row r="601" customFormat="false" ht="15" hidden="false" customHeight="false" outlineLevel="0" collapsed="false">
      <c r="A601" s="2" t="n">
        <v>502400000</v>
      </c>
      <c r="B601" s="2" t="s">
        <v>786</v>
      </c>
      <c r="C601" s="3"/>
      <c r="D601" s="3" t="n">
        <v>2229196535</v>
      </c>
      <c r="E601" s="3" t="n">
        <f aca="false">D601-C601</f>
        <v>2229196535</v>
      </c>
    </row>
    <row r="602" customFormat="false" ht="15" hidden="false" customHeight="false" outlineLevel="0" collapsed="false">
      <c r="A602" s="2" t="n">
        <v>502900000</v>
      </c>
      <c r="B602" s="2" t="s">
        <v>787</v>
      </c>
      <c r="C602" s="3"/>
      <c r="D602" s="3"/>
      <c r="E602" s="3" t="n">
        <f aca="false">D602-C602</f>
        <v>0</v>
      </c>
    </row>
    <row r="603" customFormat="false" ht="15" hidden="false" customHeight="false" outlineLevel="0" collapsed="false">
      <c r="A603" s="2" t="n">
        <v>503000000</v>
      </c>
      <c r="B603" s="2" t="s">
        <v>788</v>
      </c>
      <c r="C603" s="3"/>
      <c r="D603" s="3" t="n">
        <v>464000000</v>
      </c>
      <c r="E603" s="3" t="n">
        <f aca="false">D603-C603</f>
        <v>464000000</v>
      </c>
    </row>
    <row r="604" customFormat="false" ht="15" hidden="false" customHeight="false" outlineLevel="0" collapsed="false">
      <c r="A604" s="2" t="n">
        <v>511000000</v>
      </c>
      <c r="B604" s="2" t="s">
        <v>789</v>
      </c>
      <c r="C604" s="3"/>
      <c r="D604" s="3" t="n">
        <v>1</v>
      </c>
      <c r="E604" s="3" t="n">
        <f aca="false">D604-C604</f>
        <v>1</v>
      </c>
    </row>
    <row r="605" customFormat="false" ht="15" hidden="false" customHeight="false" outlineLevel="0" collapsed="false">
      <c r="A605" s="2" t="n">
        <v>519100000</v>
      </c>
      <c r="B605" s="2" t="s">
        <v>790</v>
      </c>
      <c r="C605" s="3"/>
      <c r="D605" s="3"/>
      <c r="E605" s="3" t="n">
        <f aca="false">D605-C605</f>
        <v>0</v>
      </c>
    </row>
    <row r="606" customFormat="false" ht="15" hidden="false" customHeight="false" outlineLevel="0" collapsed="false">
      <c r="A606" s="2" t="n">
        <v>519200000</v>
      </c>
      <c r="B606" s="2" t="s">
        <v>791</v>
      </c>
      <c r="C606" s="3"/>
      <c r="D606" s="3"/>
      <c r="E606" s="3" t="n">
        <f aca="false">D606-C606</f>
        <v>0</v>
      </c>
    </row>
    <row r="607" customFormat="false" ht="15" hidden="false" customHeight="false" outlineLevel="0" collapsed="false">
      <c r="A607" s="2" t="n">
        <v>519300000</v>
      </c>
      <c r="B607" s="2" t="s">
        <v>792</v>
      </c>
      <c r="C607" s="3"/>
      <c r="D607" s="3" t="n">
        <v>2970511</v>
      </c>
      <c r="E607" s="3" t="n">
        <f aca="false">D607-C607</f>
        <v>2970511</v>
      </c>
    </row>
    <row r="608" customFormat="false" ht="15" hidden="false" customHeight="false" outlineLevel="0" collapsed="false">
      <c r="A608" s="2" t="n">
        <v>532120000</v>
      </c>
      <c r="B608" s="2" t="s">
        <v>793</v>
      </c>
      <c r="C608" s="3"/>
      <c r="D608" s="3" t="n">
        <v>6559570000</v>
      </c>
      <c r="E608" s="3" t="n">
        <f aca="false">D608-C608</f>
        <v>6559570000</v>
      </c>
    </row>
    <row r="609" customFormat="false" ht="15" hidden="false" customHeight="false" outlineLevel="0" collapsed="false">
      <c r="A609" s="2" t="n">
        <v>532220000</v>
      </c>
      <c r="B609" s="2" t="s">
        <v>794</v>
      </c>
      <c r="C609" s="3"/>
      <c r="D609" s="3" t="n">
        <v>7409570000</v>
      </c>
      <c r="E609" s="3" t="n">
        <f aca="false">D609-C609</f>
        <v>7409570000</v>
      </c>
    </row>
    <row r="610" customFormat="false" ht="15" hidden="false" customHeight="false" outlineLevel="0" collapsed="false">
      <c r="A610" s="2" t="n">
        <v>536000000</v>
      </c>
      <c r="B610" s="2" t="s">
        <v>517</v>
      </c>
      <c r="C610" s="3"/>
      <c r="D610" s="3" t="n">
        <v>2115955538</v>
      </c>
      <c r="E610" s="3" t="n">
        <f aca="false">D610-C610</f>
        <v>2115955538</v>
      </c>
    </row>
    <row r="611" customFormat="false" ht="15" hidden="false" customHeight="false" outlineLevel="0" collapsed="false">
      <c r="A611" s="2" t="n">
        <v>536100000</v>
      </c>
      <c r="B611" s="2" t="s">
        <v>795</v>
      </c>
      <c r="C611" s="3"/>
      <c r="D611" s="3" t="n">
        <v>198989398</v>
      </c>
      <c r="E611" s="3" t="n">
        <f aca="false">D611-C611</f>
        <v>198989398</v>
      </c>
    </row>
    <row r="612" customFormat="false" ht="15" hidden="false" customHeight="false" outlineLevel="0" collapsed="false">
      <c r="A612" s="2" t="n">
        <v>540000000</v>
      </c>
      <c r="B612" s="2" t="s">
        <v>796</v>
      </c>
      <c r="C612" s="3"/>
      <c r="D612" s="3" t="n">
        <v>1725971358</v>
      </c>
      <c r="E612" s="3" t="n">
        <f aca="false">D612-C612</f>
        <v>1725971358</v>
      </c>
    </row>
    <row r="613" customFormat="false" ht="15" hidden="false" customHeight="false" outlineLevel="0" collapsed="false">
      <c r="A613" s="2" t="n">
        <v>552100000</v>
      </c>
      <c r="B613" s="2" t="s">
        <v>797</v>
      </c>
      <c r="C613" s="3"/>
      <c r="D613" s="3" t="n">
        <v>6383324919</v>
      </c>
      <c r="E613" s="3" t="n">
        <f aca="false">D613-C613</f>
        <v>6383324919</v>
      </c>
    </row>
    <row r="614" customFormat="false" ht="15" hidden="false" customHeight="false" outlineLevel="0" collapsed="false">
      <c r="A614" s="2" t="n">
        <v>552200000</v>
      </c>
      <c r="B614" s="2" t="s">
        <v>798</v>
      </c>
      <c r="C614" s="3"/>
      <c r="D614" s="3" t="n">
        <v>1693248483</v>
      </c>
      <c r="E614" s="3" t="n">
        <f aca="false">D614-C614</f>
        <v>1693248483</v>
      </c>
    </row>
    <row r="615" customFormat="false" ht="15" hidden="false" customHeight="false" outlineLevel="0" collapsed="false">
      <c r="A615" s="2" t="n">
        <v>552320000</v>
      </c>
      <c r="B615" s="2" t="s">
        <v>799</v>
      </c>
      <c r="C615" s="3"/>
      <c r="D615" s="3" t="n">
        <v>32297441406</v>
      </c>
      <c r="E615" s="3" t="n">
        <f aca="false">D615-C615</f>
        <v>32297441406</v>
      </c>
    </row>
    <row r="616" customFormat="false" ht="15" hidden="false" customHeight="false" outlineLevel="0" collapsed="false">
      <c r="A616" s="2" t="n">
        <v>552321000</v>
      </c>
      <c r="B616" s="2" t="s">
        <v>800</v>
      </c>
      <c r="C616" s="3"/>
      <c r="D616" s="3"/>
      <c r="E616" s="3" t="n">
        <f aca="false">D616-C616</f>
        <v>0</v>
      </c>
    </row>
    <row r="617" customFormat="false" ht="15" hidden="false" customHeight="false" outlineLevel="0" collapsed="false">
      <c r="A617" s="2" t="n">
        <v>560000000</v>
      </c>
      <c r="B617" s="2" t="s">
        <v>801</v>
      </c>
      <c r="C617" s="3"/>
      <c r="D617" s="3" t="n">
        <v>1580689621</v>
      </c>
      <c r="E617" s="3" t="n">
        <f aca="false">D617-C617</f>
        <v>1580689621</v>
      </c>
    </row>
    <row r="618" customFormat="false" ht="15" hidden="false" customHeight="false" outlineLevel="0" collapsed="false">
      <c r="A618" s="2" t="n">
        <v>571111100</v>
      </c>
      <c r="B618" s="2" t="s">
        <v>802</v>
      </c>
      <c r="C618" s="3"/>
      <c r="D618" s="3" t="n">
        <v>567849000</v>
      </c>
      <c r="E618" s="3" t="n">
        <f aca="false">D618-C618</f>
        <v>567849000</v>
      </c>
    </row>
    <row r="619" customFormat="false" ht="15" hidden="false" customHeight="false" outlineLevel="0" collapsed="false">
      <c r="A619" s="2" t="n">
        <v>571111110</v>
      </c>
      <c r="B619" s="2" t="s">
        <v>803</v>
      </c>
      <c r="C619" s="3"/>
      <c r="D619" s="3" t="n">
        <v>4100000000</v>
      </c>
      <c r="E619" s="3" t="n">
        <f aca="false">D619-C619</f>
        <v>4100000000</v>
      </c>
    </row>
    <row r="620" customFormat="false" ht="15" hidden="false" customHeight="false" outlineLevel="0" collapsed="false">
      <c r="A620" s="2" t="n">
        <v>571111200</v>
      </c>
      <c r="B620" s="2" t="s">
        <v>804</v>
      </c>
      <c r="C620" s="3"/>
      <c r="D620" s="3" t="n">
        <v>50800000</v>
      </c>
      <c r="E620" s="3" t="n">
        <f aca="false">D620-C620</f>
        <v>50800000</v>
      </c>
    </row>
    <row r="621" customFormat="false" ht="15" hidden="false" customHeight="false" outlineLevel="0" collapsed="false">
      <c r="A621" s="2" t="n">
        <v>580000000</v>
      </c>
      <c r="B621" s="2" t="s">
        <v>805</v>
      </c>
      <c r="C621" s="3" t="n">
        <v>3266112649</v>
      </c>
      <c r="D621" s="3"/>
      <c r="E621" s="3" t="n">
        <f aca="false">D621-C621</f>
        <v>-3266112649</v>
      </c>
    </row>
    <row r="622" customFormat="false" ht="15" hidden="false" customHeight="false" outlineLevel="0" collapsed="false">
      <c r="A622" s="2" t="n">
        <v>591000000</v>
      </c>
      <c r="B622" s="2" t="s">
        <v>806</v>
      </c>
      <c r="C622" s="3" t="n">
        <v>2</v>
      </c>
      <c r="D622" s="3"/>
      <c r="E622" s="3" t="n">
        <f aca="false">D622-C622</f>
        <v>-2</v>
      </c>
    </row>
    <row r="623" customFormat="false" ht="15" hidden="false" customHeight="false" outlineLevel="0" collapsed="false">
      <c r="A623" s="2" t="n">
        <v>592000000</v>
      </c>
      <c r="B623" s="2" t="s">
        <v>807</v>
      </c>
      <c r="C623" s="3"/>
      <c r="D623" s="3"/>
      <c r="E623" s="3" t="n">
        <f aca="false">D623-C623</f>
        <v>0</v>
      </c>
    </row>
    <row r="624" customFormat="false" ht="15" hidden="false" customHeight="false" outlineLevel="0" collapsed="false">
      <c r="A624" s="2" t="n">
        <v>592020000</v>
      </c>
      <c r="B624" s="2" t="s">
        <v>808</v>
      </c>
      <c r="C624" s="3"/>
      <c r="D624" s="3"/>
      <c r="E624" s="3" t="n">
        <f aca="false">D624-C624</f>
        <v>0</v>
      </c>
    </row>
    <row r="625" customFormat="false" ht="15" hidden="false" customHeight="false" outlineLevel="0" collapsed="false">
      <c r="A625" s="2" t="n">
        <v>596000000</v>
      </c>
      <c r="B625" s="2" t="s">
        <v>809</v>
      </c>
      <c r="C625" s="3"/>
      <c r="D625" s="3"/>
      <c r="E625" s="3" t="n">
        <f aca="false">D625-C625</f>
        <v>0</v>
      </c>
    </row>
    <row r="626" customFormat="false" ht="15" hidden="false" customHeight="false" outlineLevel="0" collapsed="false">
      <c r="A626" s="2" t="n">
        <v>601610000</v>
      </c>
      <c r="B626" s="2" t="s">
        <v>810</v>
      </c>
      <c r="C626" s="3" t="n">
        <v>118247811</v>
      </c>
      <c r="D626" s="3"/>
      <c r="E626" s="3" t="n">
        <f aca="false">D626-C626</f>
        <v>-118247811</v>
      </c>
    </row>
    <row r="627" customFormat="false" ht="15" hidden="false" customHeight="false" outlineLevel="0" collapsed="false">
      <c r="A627" s="2" t="n">
        <v>601750000</v>
      </c>
      <c r="B627" s="2" t="s">
        <v>811</v>
      </c>
      <c r="C627" s="3"/>
      <c r="D627" s="3"/>
      <c r="E627" s="3" t="n">
        <f aca="false">D627-C627</f>
        <v>0</v>
      </c>
    </row>
    <row r="628" customFormat="false" ht="15" hidden="false" customHeight="false" outlineLevel="0" collapsed="false">
      <c r="A628" s="2" t="n">
        <v>601780000</v>
      </c>
      <c r="B628" s="2" t="s">
        <v>812</v>
      </c>
      <c r="C628" s="3" t="n">
        <v>2824459039</v>
      </c>
      <c r="D628" s="3"/>
      <c r="E628" s="3" t="n">
        <f aca="false">D628-C628</f>
        <v>-2824459039</v>
      </c>
    </row>
    <row r="629" customFormat="false" ht="15" hidden="false" customHeight="false" outlineLevel="0" collapsed="false">
      <c r="A629" s="2" t="n">
        <v>601781000</v>
      </c>
      <c r="B629" s="2" t="s">
        <v>813</v>
      </c>
      <c r="C629" s="3" t="n">
        <v>985339</v>
      </c>
      <c r="D629" s="3"/>
      <c r="E629" s="3" t="n">
        <f aca="false">D629-C629</f>
        <v>-985339</v>
      </c>
    </row>
    <row r="630" customFormat="false" ht="15" hidden="false" customHeight="false" outlineLevel="0" collapsed="false">
      <c r="A630" s="2" t="n">
        <v>601900000</v>
      </c>
      <c r="B630" s="2" t="s">
        <v>814</v>
      </c>
      <c r="C630" s="3" t="n">
        <v>213973114</v>
      </c>
      <c r="D630" s="3"/>
      <c r="E630" s="3" t="n">
        <f aca="false">D630-C630</f>
        <v>-213973114</v>
      </c>
    </row>
    <row r="631" customFormat="false" ht="15" hidden="false" customHeight="false" outlineLevel="0" collapsed="false">
      <c r="A631" s="2" t="n">
        <v>601910000</v>
      </c>
      <c r="B631" s="2" t="s">
        <v>815</v>
      </c>
      <c r="C631" s="3" t="n">
        <v>255366078</v>
      </c>
      <c r="D631" s="3"/>
      <c r="E631" s="3" t="n">
        <f aca="false">D631-C631</f>
        <v>-255366078</v>
      </c>
    </row>
    <row r="632" customFormat="false" ht="15" hidden="false" customHeight="false" outlineLevel="0" collapsed="false">
      <c r="A632" s="2" t="n">
        <v>601911000</v>
      </c>
      <c r="B632" s="2" t="s">
        <v>816</v>
      </c>
      <c r="C632" s="3" t="n">
        <v>15760820242</v>
      </c>
      <c r="D632" s="3"/>
      <c r="E632" s="3" t="n">
        <f aca="false">D632-C632</f>
        <v>-15760820242</v>
      </c>
    </row>
    <row r="633" customFormat="false" ht="15" hidden="false" customHeight="false" outlineLevel="0" collapsed="false">
      <c r="A633" s="2" t="n">
        <v>601912000</v>
      </c>
      <c r="B633" s="2" t="s">
        <v>817</v>
      </c>
      <c r="C633" s="3" t="n">
        <v>55712122</v>
      </c>
      <c r="D633" s="3"/>
      <c r="E633" s="3" t="n">
        <f aca="false">D633-C633</f>
        <v>-55712122</v>
      </c>
    </row>
    <row r="634" customFormat="false" ht="15" hidden="false" customHeight="false" outlineLevel="0" collapsed="false">
      <c r="A634" s="2" t="n">
        <v>602511000</v>
      </c>
      <c r="B634" s="2" t="s">
        <v>818</v>
      </c>
      <c r="C634" s="3" t="n">
        <v>2033</v>
      </c>
      <c r="D634" s="3"/>
      <c r="E634" s="3" t="n">
        <f aca="false">D634-C634</f>
        <v>-2033</v>
      </c>
    </row>
    <row r="635" customFormat="false" ht="15" hidden="false" customHeight="false" outlineLevel="0" collapsed="false">
      <c r="A635" s="2" t="n">
        <v>602520000</v>
      </c>
      <c r="B635" s="2" t="s">
        <v>819</v>
      </c>
      <c r="C635" s="3" t="n">
        <v>13362857</v>
      </c>
      <c r="D635" s="3"/>
      <c r="E635" s="3" t="n">
        <f aca="false">D635-C635</f>
        <v>-13362857</v>
      </c>
    </row>
    <row r="636" customFormat="false" ht="15" hidden="false" customHeight="false" outlineLevel="0" collapsed="false">
      <c r="A636" s="2" t="n">
        <v>602521000</v>
      </c>
      <c r="B636" s="2" t="s">
        <v>820</v>
      </c>
      <c r="C636" s="3" t="n">
        <v>3000483</v>
      </c>
      <c r="D636" s="3"/>
      <c r="E636" s="3" t="n">
        <f aca="false">D636-C636</f>
        <v>-3000483</v>
      </c>
    </row>
    <row r="637" customFormat="false" ht="15" hidden="false" customHeight="false" outlineLevel="0" collapsed="false">
      <c r="A637" s="2" t="n">
        <v>602522000</v>
      </c>
      <c r="B637" s="2" t="s">
        <v>821</v>
      </c>
      <c r="C637" s="3" t="n">
        <v>11068326</v>
      </c>
      <c r="D637" s="3"/>
      <c r="E637" s="3" t="n">
        <f aca="false">D637-C637</f>
        <v>-11068326</v>
      </c>
    </row>
    <row r="638" customFormat="false" ht="15" hidden="false" customHeight="false" outlineLevel="0" collapsed="false">
      <c r="A638" s="2" t="n">
        <v>602523000</v>
      </c>
      <c r="B638" s="2" t="s">
        <v>822</v>
      </c>
      <c r="C638" s="3" t="n">
        <v>46250353</v>
      </c>
      <c r="D638" s="3"/>
      <c r="E638" s="3" t="n">
        <f aca="false">D638-C638</f>
        <v>-46250353</v>
      </c>
    </row>
    <row r="639" customFormat="false" ht="15" hidden="false" customHeight="false" outlineLevel="0" collapsed="false">
      <c r="A639" s="2" t="n">
        <v>602524000</v>
      </c>
      <c r="B639" s="2" t="s">
        <v>823</v>
      </c>
      <c r="C639" s="3" t="n">
        <v>176016986</v>
      </c>
      <c r="D639" s="3"/>
      <c r="E639" s="3" t="n">
        <f aca="false">D639-C639</f>
        <v>-176016986</v>
      </c>
    </row>
    <row r="640" customFormat="false" ht="15" hidden="false" customHeight="false" outlineLevel="0" collapsed="false">
      <c r="A640" s="2" t="n">
        <v>602531000</v>
      </c>
      <c r="B640" s="2" t="s">
        <v>824</v>
      </c>
      <c r="C640" s="3" t="n">
        <v>173815496</v>
      </c>
      <c r="D640" s="3"/>
      <c r="E640" s="3" t="n">
        <f aca="false">D640-C640</f>
        <v>-173815496</v>
      </c>
    </row>
    <row r="641" customFormat="false" ht="15" hidden="false" customHeight="false" outlineLevel="0" collapsed="false">
      <c r="A641" s="2" t="n">
        <v>602540000</v>
      </c>
      <c r="B641" s="2" t="s">
        <v>825</v>
      </c>
      <c r="C641" s="3"/>
      <c r="D641" s="3"/>
      <c r="E641" s="3" t="n">
        <f aca="false">D641-C641</f>
        <v>0</v>
      </c>
    </row>
    <row r="642" customFormat="false" ht="15" hidden="false" customHeight="false" outlineLevel="0" collapsed="false">
      <c r="A642" s="2" t="n">
        <v>602910000</v>
      </c>
      <c r="B642" s="2" t="s">
        <v>826</v>
      </c>
      <c r="C642" s="3" t="n">
        <v>20000000</v>
      </c>
      <c r="D642" s="3"/>
      <c r="E642" s="3" t="n">
        <f aca="false">D642-C642</f>
        <v>-20000000</v>
      </c>
    </row>
    <row r="643" customFormat="false" ht="15" hidden="false" customHeight="false" outlineLevel="0" collapsed="false">
      <c r="A643" s="2" t="n">
        <v>605322000</v>
      </c>
      <c r="B643" s="2" t="s">
        <v>827</v>
      </c>
      <c r="C643" s="3" t="n">
        <v>725865842</v>
      </c>
      <c r="D643" s="3"/>
      <c r="E643" s="3" t="n">
        <f aca="false">D643-C643</f>
        <v>-725865842</v>
      </c>
    </row>
    <row r="644" customFormat="false" ht="15" hidden="false" customHeight="false" outlineLevel="0" collapsed="false">
      <c r="A644" s="2" t="n">
        <v>605322100</v>
      </c>
      <c r="B644" s="2" t="s">
        <v>828</v>
      </c>
      <c r="C644" s="3" t="n">
        <v>73892698</v>
      </c>
      <c r="D644" s="3"/>
      <c r="E644" s="3" t="n">
        <f aca="false">D644-C644</f>
        <v>-73892698</v>
      </c>
    </row>
    <row r="645" customFormat="false" ht="15" hidden="false" customHeight="false" outlineLevel="0" collapsed="false">
      <c r="A645" s="2" t="n">
        <v>608100000</v>
      </c>
      <c r="B645" s="2" t="s">
        <v>829</v>
      </c>
      <c r="C645" s="3"/>
      <c r="D645" s="3"/>
      <c r="E645" s="3" t="n">
        <f aca="false">D645-C645</f>
        <v>0</v>
      </c>
    </row>
    <row r="646" customFormat="false" ht="15" hidden="false" customHeight="false" outlineLevel="0" collapsed="false">
      <c r="A646" s="2" t="n">
        <v>608900000</v>
      </c>
      <c r="B646" s="2" t="s">
        <v>830</v>
      </c>
      <c r="C646" s="3" t="n">
        <v>120693032</v>
      </c>
      <c r="D646" s="3"/>
      <c r="E646" s="3" t="n">
        <f aca="false">D646-C646</f>
        <v>-120693032</v>
      </c>
    </row>
    <row r="647" customFormat="false" ht="15" hidden="false" customHeight="false" outlineLevel="0" collapsed="false">
      <c r="A647" s="2" t="n">
        <v>608910000</v>
      </c>
      <c r="B647" s="2" t="s">
        <v>831</v>
      </c>
      <c r="C647" s="3"/>
      <c r="D647" s="3"/>
      <c r="E647" s="3" t="n">
        <f aca="false">D647-C647</f>
        <v>0</v>
      </c>
    </row>
    <row r="648" customFormat="false" ht="15" hidden="false" customHeight="false" outlineLevel="0" collapsed="false">
      <c r="A648" s="2" t="n">
        <v>611610000</v>
      </c>
      <c r="B648" s="2" t="s">
        <v>832</v>
      </c>
      <c r="C648" s="3" t="n">
        <v>293825138</v>
      </c>
      <c r="D648" s="3"/>
      <c r="E648" s="3" t="n">
        <f aca="false">D648-C648</f>
        <v>-293825138</v>
      </c>
    </row>
    <row r="649" customFormat="false" ht="15" hidden="false" customHeight="false" outlineLevel="0" collapsed="false">
      <c r="A649" s="2" t="n">
        <v>611621000</v>
      </c>
      <c r="B649" s="2" t="s">
        <v>833</v>
      </c>
      <c r="C649" s="3" t="n">
        <v>29913273</v>
      </c>
      <c r="D649" s="3"/>
      <c r="E649" s="3" t="n">
        <f aca="false">D649-C649</f>
        <v>-29913273</v>
      </c>
    </row>
    <row r="650" customFormat="false" ht="15" hidden="false" customHeight="false" outlineLevel="0" collapsed="false">
      <c r="A650" s="2" t="n">
        <v>611622000</v>
      </c>
      <c r="B650" s="2" t="s">
        <v>834</v>
      </c>
      <c r="C650" s="3" t="n">
        <v>311433381</v>
      </c>
      <c r="D650" s="3"/>
      <c r="E650" s="3" t="n">
        <f aca="false">D650-C650</f>
        <v>-311433381</v>
      </c>
    </row>
    <row r="651" customFormat="false" ht="15" hidden="false" customHeight="false" outlineLevel="0" collapsed="false">
      <c r="A651" s="2" t="n">
        <v>611624000</v>
      </c>
      <c r="B651" s="2" t="s">
        <v>835</v>
      </c>
      <c r="C651" s="3" t="n">
        <v>162886226</v>
      </c>
      <c r="D651" s="3"/>
      <c r="E651" s="3" t="n">
        <f aca="false">D651-C651</f>
        <v>-162886226</v>
      </c>
    </row>
    <row r="652" customFormat="false" ht="15" hidden="false" customHeight="false" outlineLevel="0" collapsed="false">
      <c r="A652" s="2" t="n">
        <v>611625000</v>
      </c>
      <c r="B652" s="2" t="s">
        <v>836</v>
      </c>
      <c r="C652" s="3" t="n">
        <v>1021055</v>
      </c>
      <c r="D652" s="3"/>
      <c r="E652" s="3" t="n">
        <f aca="false">D652-C652</f>
        <v>-1021055</v>
      </c>
    </row>
    <row r="653" customFormat="false" ht="15" hidden="false" customHeight="false" outlineLevel="0" collapsed="false">
      <c r="A653" s="2" t="n">
        <v>612000000</v>
      </c>
      <c r="B653" s="2" t="s">
        <v>837</v>
      </c>
      <c r="C653" s="3" t="n">
        <v>500000</v>
      </c>
      <c r="D653" s="3"/>
      <c r="E653" s="3" t="n">
        <f aca="false">D653-C653</f>
        <v>-500000</v>
      </c>
    </row>
    <row r="654" customFormat="false" ht="15" hidden="false" customHeight="false" outlineLevel="0" collapsed="false">
      <c r="A654" s="2" t="n">
        <v>621200000</v>
      </c>
      <c r="B654" s="2" t="s">
        <v>838</v>
      </c>
      <c r="C654" s="3" t="n">
        <v>445346885</v>
      </c>
      <c r="D654" s="3"/>
      <c r="E654" s="3" t="n">
        <f aca="false">D654-C654</f>
        <v>-445346885</v>
      </c>
    </row>
    <row r="655" customFormat="false" ht="15" hidden="false" customHeight="false" outlineLevel="0" collapsed="false">
      <c r="A655" s="2" t="n">
        <v>621400000</v>
      </c>
      <c r="B655" s="2" t="s">
        <v>839</v>
      </c>
      <c r="C655" s="3" t="n">
        <v>240159251</v>
      </c>
      <c r="D655" s="3"/>
      <c r="E655" s="3" t="n">
        <f aca="false">D655-C655</f>
        <v>-240159251</v>
      </c>
    </row>
    <row r="656" customFormat="false" ht="15" hidden="false" customHeight="false" outlineLevel="0" collapsed="false">
      <c r="A656" s="2" t="n">
        <v>621500000</v>
      </c>
      <c r="B656" s="2" t="s">
        <v>840</v>
      </c>
      <c r="C656" s="3" t="n">
        <v>454922486</v>
      </c>
      <c r="D656" s="3"/>
      <c r="E656" s="3" t="n">
        <f aca="false">D656-C656</f>
        <v>-454922486</v>
      </c>
    </row>
    <row r="657" customFormat="false" ht="15" hidden="false" customHeight="false" outlineLevel="0" collapsed="false">
      <c r="A657" s="2" t="n">
        <v>621600000</v>
      </c>
      <c r="B657" s="2" t="s">
        <v>841</v>
      </c>
      <c r="C657" s="3" t="n">
        <v>2893407</v>
      </c>
      <c r="D657" s="3"/>
      <c r="E657" s="3" t="n">
        <f aca="false">D657-C657</f>
        <v>-2893407</v>
      </c>
    </row>
    <row r="658" customFormat="false" ht="15" hidden="false" customHeight="false" outlineLevel="0" collapsed="false">
      <c r="A658" s="2" t="n">
        <v>621710000</v>
      </c>
      <c r="B658" s="2" t="s">
        <v>842</v>
      </c>
      <c r="C658" s="3" t="n">
        <v>122283519</v>
      </c>
      <c r="D658" s="3"/>
      <c r="E658" s="3" t="n">
        <f aca="false">D658-C658</f>
        <v>-122283519</v>
      </c>
    </row>
    <row r="659" customFormat="false" ht="15" hidden="false" customHeight="false" outlineLevel="0" collapsed="false">
      <c r="A659" s="2" t="n">
        <v>621720000</v>
      </c>
      <c r="B659" s="2" t="s">
        <v>843</v>
      </c>
      <c r="C659" s="3"/>
      <c r="D659" s="3"/>
      <c r="E659" s="3" t="n">
        <f aca="false">D659-C659</f>
        <v>0</v>
      </c>
    </row>
    <row r="660" customFormat="false" ht="15" hidden="false" customHeight="false" outlineLevel="0" collapsed="false">
      <c r="A660" s="2" t="n">
        <v>621730000</v>
      </c>
      <c r="B660" s="2" t="s">
        <v>844</v>
      </c>
      <c r="C660" s="3" t="n">
        <v>14704500</v>
      </c>
      <c r="D660" s="3"/>
      <c r="E660" s="3" t="n">
        <f aca="false">D660-C660</f>
        <v>-14704500</v>
      </c>
    </row>
    <row r="661" customFormat="false" ht="15" hidden="false" customHeight="false" outlineLevel="0" collapsed="false">
      <c r="A661" s="2" t="n">
        <v>622110000</v>
      </c>
      <c r="B661" s="2" t="s">
        <v>845</v>
      </c>
      <c r="C661" s="3" t="n">
        <v>486364849</v>
      </c>
      <c r="D661" s="3"/>
      <c r="E661" s="3" t="n">
        <f aca="false">D661-C661</f>
        <v>-486364849</v>
      </c>
    </row>
    <row r="662" customFormat="false" ht="15" hidden="false" customHeight="false" outlineLevel="0" collapsed="false">
      <c r="A662" s="2" t="n">
        <v>622120000</v>
      </c>
      <c r="B662" s="2" t="s">
        <v>846</v>
      </c>
      <c r="C662" s="3" t="n">
        <v>933375</v>
      </c>
      <c r="D662" s="3"/>
      <c r="E662" s="3" t="n">
        <f aca="false">D662-C662</f>
        <v>-933375</v>
      </c>
    </row>
    <row r="663" customFormat="false" ht="15" hidden="false" customHeight="false" outlineLevel="0" collapsed="false">
      <c r="A663" s="2" t="n">
        <v>622200000</v>
      </c>
      <c r="B663" s="2" t="s">
        <v>847</v>
      </c>
      <c r="C663" s="3" t="n">
        <v>670535237</v>
      </c>
      <c r="D663" s="3"/>
      <c r="E663" s="3" t="n">
        <f aca="false">D663-C663</f>
        <v>-670535237</v>
      </c>
    </row>
    <row r="664" customFormat="false" ht="15" hidden="false" customHeight="false" outlineLevel="0" collapsed="false">
      <c r="A664" s="2" t="n">
        <v>622300000</v>
      </c>
      <c r="B664" s="2" t="s">
        <v>848</v>
      </c>
      <c r="C664" s="3" t="n">
        <v>208814550</v>
      </c>
      <c r="D664" s="3"/>
      <c r="E664" s="3" t="n">
        <f aca="false">D664-C664</f>
        <v>-208814550</v>
      </c>
    </row>
    <row r="665" customFormat="false" ht="15" hidden="false" customHeight="false" outlineLevel="0" collapsed="false">
      <c r="A665" s="2" t="n">
        <v>622400000</v>
      </c>
      <c r="B665" s="2" t="s">
        <v>849</v>
      </c>
      <c r="C665" s="3" t="n">
        <v>58724009</v>
      </c>
      <c r="D665" s="3"/>
      <c r="E665" s="3" t="n">
        <f aca="false">D665-C665</f>
        <v>-58724009</v>
      </c>
    </row>
    <row r="666" customFormat="false" ht="15" hidden="false" customHeight="false" outlineLevel="0" collapsed="false">
      <c r="A666" s="2" t="n">
        <v>622610000</v>
      </c>
      <c r="B666" s="2" t="s">
        <v>850</v>
      </c>
      <c r="C666" s="3" t="n">
        <v>139453828</v>
      </c>
      <c r="D666" s="3"/>
      <c r="E666" s="3" t="n">
        <f aca="false">D666-C666</f>
        <v>-139453828</v>
      </c>
    </row>
    <row r="667" customFormat="false" ht="15" hidden="false" customHeight="false" outlineLevel="0" collapsed="false">
      <c r="A667" s="2" t="n">
        <v>622620000</v>
      </c>
      <c r="B667" s="2" t="s">
        <v>851</v>
      </c>
      <c r="C667" s="3" t="n">
        <v>26728207</v>
      </c>
      <c r="D667" s="3"/>
      <c r="E667" s="3" t="n">
        <f aca="false">D667-C667</f>
        <v>-26728207</v>
      </c>
    </row>
    <row r="668" customFormat="false" ht="15" hidden="false" customHeight="false" outlineLevel="0" collapsed="false">
      <c r="A668" s="2" t="n">
        <v>622630000</v>
      </c>
      <c r="B668" s="2" t="s">
        <v>852</v>
      </c>
      <c r="C668" s="3" t="n">
        <v>4071044</v>
      </c>
      <c r="D668" s="3"/>
      <c r="E668" s="3" t="n">
        <f aca="false">D668-C668</f>
        <v>-4071044</v>
      </c>
    </row>
    <row r="669" customFormat="false" ht="15" hidden="false" customHeight="false" outlineLevel="0" collapsed="false">
      <c r="A669" s="2" t="n">
        <v>622700000</v>
      </c>
      <c r="B669" s="2" t="s">
        <v>853</v>
      </c>
      <c r="C669" s="3" t="n">
        <v>329222495</v>
      </c>
      <c r="D669" s="3"/>
      <c r="E669" s="3" t="n">
        <f aca="false">D669-C669</f>
        <v>-329222495</v>
      </c>
    </row>
    <row r="670" customFormat="false" ht="15" hidden="false" customHeight="false" outlineLevel="0" collapsed="false">
      <c r="A670" s="2" t="n">
        <v>623100000</v>
      </c>
      <c r="B670" s="2" t="s">
        <v>854</v>
      </c>
      <c r="C670" s="3" t="n">
        <v>35206165</v>
      </c>
      <c r="D670" s="3"/>
      <c r="E670" s="3" t="n">
        <f aca="false">D670-C670</f>
        <v>-35206165</v>
      </c>
    </row>
    <row r="671" customFormat="false" ht="15" hidden="false" customHeight="false" outlineLevel="0" collapsed="false">
      <c r="A671" s="2" t="n">
        <v>623310000</v>
      </c>
      <c r="B671" s="2" t="s">
        <v>855</v>
      </c>
      <c r="C671" s="3" t="n">
        <v>25874408</v>
      </c>
      <c r="D671" s="3"/>
      <c r="E671" s="3" t="n">
        <f aca="false">D671-C671</f>
        <v>-25874408</v>
      </c>
    </row>
    <row r="672" customFormat="false" ht="15" hidden="false" customHeight="false" outlineLevel="0" collapsed="false">
      <c r="A672" s="2" t="n">
        <v>623320000</v>
      </c>
      <c r="B672" s="2" t="s">
        <v>856</v>
      </c>
      <c r="C672" s="3" t="n">
        <v>13087000</v>
      </c>
      <c r="D672" s="3"/>
      <c r="E672" s="3" t="n">
        <f aca="false">D672-C672</f>
        <v>-13087000</v>
      </c>
    </row>
    <row r="673" customFormat="false" ht="15" hidden="false" customHeight="false" outlineLevel="0" collapsed="false">
      <c r="A673" s="2" t="n">
        <v>623330000</v>
      </c>
      <c r="B673" s="2" t="s">
        <v>857</v>
      </c>
      <c r="C673" s="3" t="n">
        <v>3822250</v>
      </c>
      <c r="D673" s="3"/>
      <c r="E673" s="3" t="n">
        <f aca="false">D673-C673</f>
        <v>-3822250</v>
      </c>
    </row>
    <row r="674" customFormat="false" ht="15" hidden="false" customHeight="false" outlineLevel="0" collapsed="false">
      <c r="A674" s="2" t="n">
        <v>623340000</v>
      </c>
      <c r="B674" s="2" t="s">
        <v>858</v>
      </c>
      <c r="C674" s="3" t="n">
        <v>9780000</v>
      </c>
      <c r="D674" s="3"/>
      <c r="E674" s="3" t="n">
        <f aca="false">D674-C674</f>
        <v>-9780000</v>
      </c>
    </row>
    <row r="675" customFormat="false" ht="15" hidden="false" customHeight="false" outlineLevel="0" collapsed="false">
      <c r="A675" s="2" t="n">
        <v>623350000</v>
      </c>
      <c r="B675" s="2" t="s">
        <v>859</v>
      </c>
      <c r="C675" s="3"/>
      <c r="D675" s="3"/>
      <c r="E675" s="3" t="n">
        <f aca="false">D675-C675</f>
        <v>0</v>
      </c>
    </row>
    <row r="676" customFormat="false" ht="15" hidden="false" customHeight="false" outlineLevel="0" collapsed="false">
      <c r="A676" s="2" t="n">
        <v>623390000</v>
      </c>
      <c r="B676" s="2" t="s">
        <v>860</v>
      </c>
      <c r="C676" s="3" t="n">
        <v>800000</v>
      </c>
      <c r="D676" s="3"/>
      <c r="E676" s="3" t="n">
        <f aca="false">D676-C676</f>
        <v>-800000</v>
      </c>
    </row>
    <row r="677" customFormat="false" ht="15" hidden="false" customHeight="false" outlineLevel="0" collapsed="false">
      <c r="A677" s="2" t="n">
        <v>623510000</v>
      </c>
      <c r="B677" s="2" t="s">
        <v>861</v>
      </c>
      <c r="C677" s="3" t="n">
        <v>176000</v>
      </c>
      <c r="D677" s="3"/>
      <c r="E677" s="3" t="n">
        <f aca="false">D677-C677</f>
        <v>-176000</v>
      </c>
    </row>
    <row r="678" customFormat="false" ht="15" hidden="false" customHeight="false" outlineLevel="0" collapsed="false">
      <c r="A678" s="2" t="n">
        <v>623910000</v>
      </c>
      <c r="B678" s="2" t="s">
        <v>862</v>
      </c>
      <c r="C678" s="3" t="n">
        <v>74569000</v>
      </c>
      <c r="D678" s="3"/>
      <c r="E678" s="3" t="n">
        <f aca="false">D678-C678</f>
        <v>-74569000</v>
      </c>
    </row>
    <row r="679" customFormat="false" ht="15" hidden="false" customHeight="false" outlineLevel="0" collapsed="false">
      <c r="A679" s="2" t="n">
        <v>631100000</v>
      </c>
      <c r="B679" s="2" t="s">
        <v>863</v>
      </c>
      <c r="C679" s="3"/>
      <c r="D679" s="3"/>
      <c r="E679" s="3" t="n">
        <f aca="false">D679-C679</f>
        <v>0</v>
      </c>
    </row>
    <row r="680" customFormat="false" ht="15" hidden="false" customHeight="false" outlineLevel="0" collapsed="false">
      <c r="A680" s="2" t="n">
        <v>631110000</v>
      </c>
      <c r="B680" s="2" t="s">
        <v>864</v>
      </c>
      <c r="C680" s="3" t="n">
        <v>237624299</v>
      </c>
      <c r="D680" s="3"/>
      <c r="E680" s="3" t="n">
        <f aca="false">D680-C680</f>
        <v>-237624299</v>
      </c>
    </row>
    <row r="681" customFormat="false" ht="15" hidden="false" customHeight="false" outlineLevel="0" collapsed="false">
      <c r="A681" s="2" t="n">
        <v>632100000</v>
      </c>
      <c r="B681" s="2" t="s">
        <v>865</v>
      </c>
      <c r="C681" s="3" t="n">
        <v>1760500</v>
      </c>
      <c r="D681" s="3"/>
      <c r="E681" s="3" t="n">
        <f aca="false">D681-C681</f>
        <v>-1760500</v>
      </c>
    </row>
    <row r="682" customFormat="false" ht="15" hidden="false" customHeight="false" outlineLevel="0" collapsed="false">
      <c r="A682" s="2" t="n">
        <v>632300000</v>
      </c>
      <c r="B682" s="2" t="s">
        <v>866</v>
      </c>
      <c r="C682" s="3" t="n">
        <v>3336466</v>
      </c>
      <c r="D682" s="3"/>
      <c r="E682" s="3" t="n">
        <f aca="false">D682-C682</f>
        <v>-3336466</v>
      </c>
    </row>
    <row r="683" customFormat="false" ht="15" hidden="false" customHeight="false" outlineLevel="0" collapsed="false">
      <c r="A683" s="2" t="n">
        <v>632400000</v>
      </c>
      <c r="B683" s="2" t="s">
        <v>867</v>
      </c>
      <c r="C683" s="3" t="n">
        <v>114198930</v>
      </c>
      <c r="D683" s="3"/>
      <c r="E683" s="3" t="n">
        <f aca="false">D683-C683</f>
        <v>-114198930</v>
      </c>
    </row>
    <row r="684" customFormat="false" ht="15" hidden="false" customHeight="false" outlineLevel="0" collapsed="false">
      <c r="A684" s="2" t="n">
        <v>632900000</v>
      </c>
      <c r="B684" s="2" t="s">
        <v>868</v>
      </c>
      <c r="C684" s="3" t="n">
        <v>3224237</v>
      </c>
      <c r="D684" s="3"/>
      <c r="E684" s="3" t="n">
        <f aca="false">D684-C684</f>
        <v>-3224237</v>
      </c>
    </row>
    <row r="685" customFormat="false" ht="15" hidden="false" customHeight="false" outlineLevel="0" collapsed="false">
      <c r="A685" s="2" t="n">
        <v>633100000</v>
      </c>
      <c r="B685" s="2" t="s">
        <v>869</v>
      </c>
      <c r="C685" s="3" t="n">
        <v>886361584</v>
      </c>
      <c r="D685" s="3"/>
      <c r="E685" s="3" t="n">
        <f aca="false">D685-C685</f>
        <v>-886361584</v>
      </c>
    </row>
    <row r="686" customFormat="false" ht="15" hidden="false" customHeight="false" outlineLevel="0" collapsed="false">
      <c r="A686" s="2" t="n">
        <v>641100000</v>
      </c>
      <c r="B686" s="2" t="s">
        <v>870</v>
      </c>
      <c r="C686" s="3" t="n">
        <v>5479868255</v>
      </c>
      <c r="D686" s="3"/>
      <c r="E686" s="3" t="n">
        <f aca="false">D686-C686</f>
        <v>-5479868255</v>
      </c>
    </row>
    <row r="687" customFormat="false" ht="15" hidden="false" customHeight="false" outlineLevel="0" collapsed="false">
      <c r="A687" s="2" t="n">
        <v>641200000</v>
      </c>
      <c r="B687" s="2" t="s">
        <v>871</v>
      </c>
      <c r="C687" s="3" t="n">
        <v>1202143520</v>
      </c>
      <c r="D687" s="3"/>
      <c r="E687" s="3" t="n">
        <f aca="false">D687-C687</f>
        <v>-1202143520</v>
      </c>
    </row>
    <row r="688" customFormat="false" ht="15" hidden="false" customHeight="false" outlineLevel="0" collapsed="false">
      <c r="A688" s="2" t="n">
        <v>641300000</v>
      </c>
      <c r="B688" s="2" t="s">
        <v>872</v>
      </c>
      <c r="C688" s="3" t="n">
        <v>1555978887</v>
      </c>
      <c r="D688" s="3"/>
      <c r="E688" s="3" t="n">
        <f aca="false">D688-C688</f>
        <v>-1555978887</v>
      </c>
    </row>
    <row r="689" customFormat="false" ht="15" hidden="false" customHeight="false" outlineLevel="0" collapsed="false">
      <c r="A689" s="2" t="n">
        <v>641500000</v>
      </c>
      <c r="B689" s="2" t="s">
        <v>873</v>
      </c>
      <c r="C689" s="3" t="n">
        <v>2653200</v>
      </c>
      <c r="D689" s="3"/>
      <c r="E689" s="3" t="n">
        <f aca="false">D689-C689</f>
        <v>-2653200</v>
      </c>
    </row>
    <row r="690" customFormat="false" ht="15" hidden="false" customHeight="false" outlineLevel="0" collapsed="false">
      <c r="A690" s="2" t="n">
        <v>641600000</v>
      </c>
      <c r="B690" s="2" t="s">
        <v>874</v>
      </c>
      <c r="C690" s="3"/>
      <c r="D690" s="3"/>
      <c r="E690" s="3" t="n">
        <f aca="false">D690-C690</f>
        <v>0</v>
      </c>
    </row>
    <row r="691" customFormat="false" ht="15" hidden="false" customHeight="false" outlineLevel="0" collapsed="false">
      <c r="A691" s="2" t="n">
        <v>642100000</v>
      </c>
      <c r="B691" s="2" t="s">
        <v>875</v>
      </c>
      <c r="C691" s="3" t="n">
        <v>356796286</v>
      </c>
      <c r="D691" s="3"/>
      <c r="E691" s="3" t="n">
        <f aca="false">D691-C691</f>
        <v>-356796286</v>
      </c>
    </row>
    <row r="692" customFormat="false" ht="15" hidden="false" customHeight="false" outlineLevel="0" collapsed="false">
      <c r="A692" s="2" t="n">
        <v>642200000</v>
      </c>
      <c r="B692" s="2" t="s">
        <v>876</v>
      </c>
      <c r="C692" s="3" t="n">
        <v>46298569</v>
      </c>
      <c r="D692" s="3"/>
      <c r="E692" s="3" t="n">
        <f aca="false">D692-C692</f>
        <v>-46298569</v>
      </c>
    </row>
    <row r="693" customFormat="false" ht="15" hidden="false" customHeight="false" outlineLevel="0" collapsed="false">
      <c r="A693" s="2" t="n">
        <v>642300000</v>
      </c>
      <c r="B693" s="2" t="s">
        <v>877</v>
      </c>
      <c r="C693" s="3" t="n">
        <v>189536904</v>
      </c>
      <c r="D693" s="3"/>
      <c r="E693" s="3" t="n">
        <f aca="false">D693-C693</f>
        <v>-189536904</v>
      </c>
    </row>
    <row r="694" customFormat="false" ht="15" hidden="false" customHeight="false" outlineLevel="0" collapsed="false">
      <c r="A694" s="2" t="n">
        <v>642400000</v>
      </c>
      <c r="B694" s="2" t="s">
        <v>878</v>
      </c>
      <c r="C694" s="3" t="n">
        <v>285483862</v>
      </c>
      <c r="D694" s="3"/>
      <c r="E694" s="3" t="n">
        <f aca="false">D694-C694</f>
        <v>-285483862</v>
      </c>
    </row>
    <row r="695" customFormat="false" ht="15" hidden="false" customHeight="false" outlineLevel="0" collapsed="false">
      <c r="A695" s="2" t="n">
        <v>642500000</v>
      </c>
      <c r="B695" s="2" t="s">
        <v>879</v>
      </c>
      <c r="C695" s="3" t="n">
        <v>599624010</v>
      </c>
      <c r="D695" s="3"/>
      <c r="E695" s="3" t="n">
        <f aca="false">D695-C695</f>
        <v>-599624010</v>
      </c>
    </row>
    <row r="696" customFormat="false" ht="15" hidden="false" customHeight="false" outlineLevel="0" collapsed="false">
      <c r="A696" s="2" t="n">
        <v>643000000</v>
      </c>
      <c r="B696" s="2" t="s">
        <v>880</v>
      </c>
      <c r="C696" s="3" t="n">
        <v>6803640</v>
      </c>
      <c r="D696" s="3"/>
      <c r="E696" s="3" t="n">
        <f aca="false">D696-C696</f>
        <v>-6803640</v>
      </c>
    </row>
    <row r="697" customFormat="false" ht="15" hidden="false" customHeight="false" outlineLevel="0" collapsed="false">
      <c r="A697" s="2" t="n">
        <v>650000000</v>
      </c>
      <c r="B697" s="2" t="s">
        <v>881</v>
      </c>
      <c r="C697" s="3" t="n">
        <v>1725971358</v>
      </c>
      <c r="D697" s="3"/>
      <c r="E697" s="3" t="n">
        <f aca="false">D697-C697</f>
        <v>-1725971358</v>
      </c>
    </row>
    <row r="698" customFormat="false" ht="15" hidden="false" customHeight="false" outlineLevel="0" collapsed="false">
      <c r="A698" s="2" t="n">
        <v>661110000</v>
      </c>
      <c r="B698" s="2" t="s">
        <v>882</v>
      </c>
      <c r="C698" s="3" t="n">
        <v>16446903</v>
      </c>
      <c r="D698" s="3"/>
      <c r="E698" s="3" t="n">
        <f aca="false">D698-C698</f>
        <v>-16446903</v>
      </c>
    </row>
    <row r="699" customFormat="false" ht="15" hidden="false" customHeight="false" outlineLevel="0" collapsed="false">
      <c r="A699" s="2" t="n">
        <v>661120000</v>
      </c>
      <c r="B699" s="2" t="s">
        <v>883</v>
      </c>
      <c r="C699" s="3" t="n">
        <v>1608864662</v>
      </c>
      <c r="D699" s="3"/>
      <c r="E699" s="3" t="n">
        <f aca="false">D699-C699</f>
        <v>-1608864662</v>
      </c>
    </row>
    <row r="700" customFormat="false" ht="15" hidden="false" customHeight="false" outlineLevel="0" collapsed="false">
      <c r="A700" s="2" t="n">
        <v>661220000</v>
      </c>
      <c r="B700" s="2" t="s">
        <v>884</v>
      </c>
      <c r="C700" s="3"/>
      <c r="D700" s="3"/>
      <c r="E700" s="3" t="n">
        <f aca="false">D700-C700</f>
        <v>0</v>
      </c>
    </row>
    <row r="701" customFormat="false" ht="15" hidden="false" customHeight="false" outlineLevel="0" collapsed="false">
      <c r="A701" s="2" t="n">
        <v>662000000</v>
      </c>
      <c r="B701" s="2" t="s">
        <v>885</v>
      </c>
      <c r="C701" s="3"/>
      <c r="D701" s="3"/>
      <c r="E701" s="3" t="n">
        <f aca="false">D701-C701</f>
        <v>0</v>
      </c>
    </row>
    <row r="702" customFormat="false" ht="15" hidden="false" customHeight="false" outlineLevel="0" collapsed="false">
      <c r="A702" s="2" t="n">
        <v>664120000</v>
      </c>
      <c r="B702" s="2" t="s">
        <v>886</v>
      </c>
      <c r="C702" s="3" t="n">
        <v>2166590539</v>
      </c>
      <c r="D702" s="3"/>
      <c r="E702" s="3" t="n">
        <f aca="false">D702-C702</f>
        <v>-2166590539</v>
      </c>
    </row>
    <row r="703" customFormat="false" ht="15" hidden="false" customHeight="false" outlineLevel="0" collapsed="false">
      <c r="A703" s="2" t="n">
        <v>664121000</v>
      </c>
      <c r="B703" s="2" t="s">
        <v>887</v>
      </c>
      <c r="C703" s="3" t="n">
        <v>7453846</v>
      </c>
      <c r="D703" s="3"/>
      <c r="E703" s="3" t="n">
        <f aca="false">D703-C703</f>
        <v>-7453846</v>
      </c>
    </row>
    <row r="704" customFormat="false" ht="15" hidden="false" customHeight="false" outlineLevel="0" collapsed="false">
      <c r="A704" s="2" t="n">
        <v>664200000</v>
      </c>
      <c r="B704" s="2" t="s">
        <v>888</v>
      </c>
      <c r="C704" s="3" t="n">
        <v>1636648218</v>
      </c>
      <c r="D704" s="3"/>
      <c r="E704" s="3" t="n">
        <f aca="false">D704-C704</f>
        <v>-1636648218</v>
      </c>
    </row>
    <row r="705" customFormat="false" ht="15" hidden="false" customHeight="false" outlineLevel="0" collapsed="false">
      <c r="A705" s="2" t="n">
        <v>664210000</v>
      </c>
      <c r="B705" s="2" t="s">
        <v>889</v>
      </c>
      <c r="C705" s="3" t="n">
        <v>606404087</v>
      </c>
      <c r="D705" s="3"/>
      <c r="E705" s="3" t="n">
        <f aca="false">D705-C705</f>
        <v>-606404087</v>
      </c>
    </row>
    <row r="706" customFormat="false" ht="15" hidden="false" customHeight="false" outlineLevel="0" collapsed="false">
      <c r="A706" s="2" t="n">
        <v>664300000</v>
      </c>
      <c r="B706" s="2" t="s">
        <v>890</v>
      </c>
      <c r="C706" s="3" t="n">
        <v>7361107036</v>
      </c>
      <c r="D706" s="3"/>
      <c r="E706" s="3" t="n">
        <f aca="false">D706-C706</f>
        <v>-7361107036</v>
      </c>
    </row>
    <row r="707" customFormat="false" ht="15" hidden="false" customHeight="false" outlineLevel="0" collapsed="false">
      <c r="A707" s="2" t="n">
        <v>664310000</v>
      </c>
      <c r="B707" s="2" t="s">
        <v>891</v>
      </c>
      <c r="C707" s="3"/>
      <c r="D707" s="3" t="n">
        <v>44</v>
      </c>
      <c r="E707" s="3" t="n">
        <f aca="false">D707-C707</f>
        <v>44</v>
      </c>
    </row>
    <row r="708" customFormat="false" ht="15" hidden="false" customHeight="false" outlineLevel="0" collapsed="false">
      <c r="A708" s="2" t="n">
        <v>666000000</v>
      </c>
      <c r="B708" s="2" t="s">
        <v>892</v>
      </c>
      <c r="C708" s="3" t="n">
        <v>53215914</v>
      </c>
      <c r="D708" s="3"/>
      <c r="E708" s="3" t="n">
        <f aca="false">D708-C708</f>
        <v>-53215914</v>
      </c>
    </row>
    <row r="709" customFormat="false" ht="15" hidden="false" customHeight="false" outlineLevel="0" collapsed="false">
      <c r="A709" s="2" t="n">
        <v>667100000</v>
      </c>
      <c r="B709" s="2" t="s">
        <v>893</v>
      </c>
      <c r="C709" s="3"/>
      <c r="D709" s="3"/>
      <c r="E709" s="3" t="n">
        <f aca="false">D709-C709</f>
        <v>0</v>
      </c>
    </row>
    <row r="710" customFormat="false" ht="15" hidden="false" customHeight="false" outlineLevel="0" collapsed="false">
      <c r="A710" s="2" t="n">
        <v>667200000</v>
      </c>
      <c r="B710" s="2" t="s">
        <v>894</v>
      </c>
      <c r="C710" s="3"/>
      <c r="D710" s="3"/>
      <c r="E710" s="3" t="n">
        <f aca="false">D710-C710</f>
        <v>0</v>
      </c>
    </row>
    <row r="711" customFormat="false" ht="15" hidden="false" customHeight="false" outlineLevel="0" collapsed="false">
      <c r="A711" s="2" t="n">
        <v>669110000</v>
      </c>
      <c r="B711" s="2" t="s">
        <v>895</v>
      </c>
      <c r="C711" s="3" t="n">
        <v>5513073112</v>
      </c>
      <c r="D711" s="3"/>
      <c r="E711" s="3" t="n">
        <f aca="false">D711-C711</f>
        <v>-5513073112</v>
      </c>
    </row>
    <row r="712" customFormat="false" ht="15" hidden="false" customHeight="false" outlineLevel="0" collapsed="false">
      <c r="A712" s="2" t="n">
        <v>669120000</v>
      </c>
      <c r="B712" s="2" t="s">
        <v>896</v>
      </c>
      <c r="C712" s="3" t="n">
        <v>319065469</v>
      </c>
      <c r="D712" s="3"/>
      <c r="E712" s="3" t="n">
        <f aca="false">D712-C712</f>
        <v>-319065469</v>
      </c>
    </row>
    <row r="713" customFormat="false" ht="15" hidden="false" customHeight="false" outlineLevel="0" collapsed="false">
      <c r="A713" s="2" t="n">
        <v>671300000</v>
      </c>
      <c r="B713" s="2" t="s">
        <v>897</v>
      </c>
      <c r="C713" s="3" t="n">
        <v>2093131</v>
      </c>
      <c r="D713" s="3"/>
      <c r="E713" s="3" t="n">
        <f aca="false">D713-C713</f>
        <v>-2093131</v>
      </c>
    </row>
    <row r="714" customFormat="false" ht="15" hidden="false" customHeight="false" outlineLevel="0" collapsed="false">
      <c r="A714" s="2" t="n">
        <v>671600000</v>
      </c>
      <c r="B714" s="2" t="s">
        <v>898</v>
      </c>
      <c r="C714" s="3"/>
      <c r="D714" s="3"/>
      <c r="E714" s="3" t="n">
        <f aca="false">D714-C714</f>
        <v>0</v>
      </c>
    </row>
    <row r="715" customFormat="false" ht="15" hidden="false" customHeight="false" outlineLevel="0" collapsed="false">
      <c r="A715" s="2" t="n">
        <v>671900000</v>
      </c>
      <c r="B715" s="2" t="s">
        <v>899</v>
      </c>
      <c r="C715" s="3" t="n">
        <v>6355045</v>
      </c>
      <c r="D715" s="3"/>
      <c r="E715" s="3" t="n">
        <f aca="false">D715-C715</f>
        <v>-6355045</v>
      </c>
    </row>
    <row r="716" customFormat="false" ht="15" hidden="false" customHeight="false" outlineLevel="0" collapsed="false">
      <c r="A716" s="2" t="n">
        <v>691000000</v>
      </c>
      <c r="B716" s="2" t="s">
        <v>900</v>
      </c>
      <c r="C716" s="3" t="n">
        <v>289610191</v>
      </c>
      <c r="D716" s="3"/>
      <c r="E716" s="3" t="n">
        <f aca="false">D716-C716</f>
        <v>-289610191</v>
      </c>
    </row>
    <row r="717" customFormat="false" ht="15" hidden="false" customHeight="false" outlineLevel="0" collapsed="false">
      <c r="A717" s="2" t="n">
        <v>701260000</v>
      </c>
      <c r="B717" s="2" t="s">
        <v>901</v>
      </c>
      <c r="C717" s="3"/>
      <c r="D717" s="3" t="n">
        <v>162379851</v>
      </c>
      <c r="E717" s="3" t="n">
        <f aca="false">D717-C717</f>
        <v>162379851</v>
      </c>
    </row>
    <row r="718" customFormat="false" ht="15" hidden="false" customHeight="false" outlineLevel="0" collapsed="false">
      <c r="A718" s="2" t="n">
        <v>701330000</v>
      </c>
      <c r="B718" s="2" t="s">
        <v>902</v>
      </c>
      <c r="C718" s="3"/>
      <c r="D718" s="3"/>
      <c r="E718" s="3" t="n">
        <f aca="false">D718-C718</f>
        <v>0</v>
      </c>
    </row>
    <row r="719" customFormat="false" ht="15" hidden="false" customHeight="false" outlineLevel="0" collapsed="false">
      <c r="A719" s="2" t="n">
        <v>701910000</v>
      </c>
      <c r="B719" s="2" t="s">
        <v>903</v>
      </c>
      <c r="C719" s="3"/>
      <c r="D719" s="3"/>
      <c r="E719" s="3" t="n">
        <f aca="false">D719-C719</f>
        <v>0</v>
      </c>
    </row>
    <row r="720" customFormat="false" ht="15" hidden="false" customHeight="false" outlineLevel="0" collapsed="false">
      <c r="A720" s="2" t="n">
        <v>701931000</v>
      </c>
      <c r="B720" s="2" t="s">
        <v>904</v>
      </c>
      <c r="C720" s="3"/>
      <c r="D720" s="3"/>
      <c r="E720" s="3" t="n">
        <f aca="false">D720-C720</f>
        <v>0</v>
      </c>
    </row>
    <row r="721" customFormat="false" ht="15" hidden="false" customHeight="false" outlineLevel="0" collapsed="false">
      <c r="A721" s="2" t="n">
        <v>702121000</v>
      </c>
      <c r="B721" s="2" t="s">
        <v>905</v>
      </c>
      <c r="C721" s="3"/>
      <c r="D721" s="3" t="n">
        <v>2831831409</v>
      </c>
      <c r="E721" s="3" t="n">
        <f aca="false">D721-C721</f>
        <v>2831831409</v>
      </c>
    </row>
    <row r="722" customFormat="false" ht="15" hidden="false" customHeight="false" outlineLevel="0" collapsed="false">
      <c r="A722" s="2" t="n">
        <v>702122000</v>
      </c>
      <c r="B722" s="2" t="s">
        <v>906</v>
      </c>
      <c r="C722" s="3"/>
      <c r="D722" s="3"/>
      <c r="E722" s="3" t="n">
        <f aca="false">D722-C722</f>
        <v>0</v>
      </c>
    </row>
    <row r="723" customFormat="false" ht="15" hidden="false" customHeight="false" outlineLevel="0" collapsed="false">
      <c r="A723" s="2" t="n">
        <v>702131000</v>
      </c>
      <c r="B723" s="2" t="s">
        <v>907</v>
      </c>
      <c r="C723" s="3"/>
      <c r="D723" s="3" t="n">
        <v>17496139202</v>
      </c>
      <c r="E723" s="3" t="n">
        <f aca="false">D723-C723</f>
        <v>17496139202</v>
      </c>
    </row>
    <row r="724" customFormat="false" ht="15" hidden="false" customHeight="false" outlineLevel="0" collapsed="false">
      <c r="A724" s="2" t="n">
        <v>702132000</v>
      </c>
      <c r="B724" s="2" t="s">
        <v>908</v>
      </c>
      <c r="C724" s="3"/>
      <c r="D724" s="3" t="n">
        <v>8982863</v>
      </c>
      <c r="E724" s="3" t="n">
        <f aca="false">D724-C724</f>
        <v>8982863</v>
      </c>
    </row>
    <row r="725" customFormat="false" ht="15" hidden="false" customHeight="false" outlineLevel="0" collapsed="false">
      <c r="A725" s="2" t="n">
        <v>702141000</v>
      </c>
      <c r="B725" s="2" t="s">
        <v>909</v>
      </c>
      <c r="C725" s="3"/>
      <c r="D725" s="3" t="n">
        <v>2121554394</v>
      </c>
      <c r="E725" s="3" t="n">
        <f aca="false">D725-C725</f>
        <v>2121554394</v>
      </c>
    </row>
    <row r="726" customFormat="false" ht="15" hidden="false" customHeight="false" outlineLevel="0" collapsed="false">
      <c r="A726" s="2" t="n">
        <v>702142000</v>
      </c>
      <c r="B726" s="2" t="s">
        <v>910</v>
      </c>
      <c r="C726" s="3"/>
      <c r="D726" s="3" t="n">
        <v>40353675</v>
      </c>
      <c r="E726" s="3" t="n">
        <f aca="false">D726-C726</f>
        <v>40353675</v>
      </c>
    </row>
    <row r="727" customFormat="false" ht="15" hidden="false" customHeight="false" outlineLevel="0" collapsed="false">
      <c r="A727" s="2" t="n">
        <v>702511000</v>
      </c>
      <c r="B727" s="2" t="s">
        <v>911</v>
      </c>
      <c r="C727" s="3"/>
      <c r="D727" s="3"/>
      <c r="E727" s="3" t="n">
        <f aca="false">D727-C727</f>
        <v>0</v>
      </c>
    </row>
    <row r="728" customFormat="false" ht="15" hidden="false" customHeight="false" outlineLevel="0" collapsed="false">
      <c r="A728" s="2" t="n">
        <v>702891000</v>
      </c>
      <c r="B728" s="2" t="s">
        <v>912</v>
      </c>
      <c r="C728" s="3"/>
      <c r="D728" s="3" t="n">
        <v>379955145</v>
      </c>
      <c r="E728" s="3" t="n">
        <f aca="false">D728-C728</f>
        <v>379955145</v>
      </c>
    </row>
    <row r="729" customFormat="false" ht="15" hidden="false" customHeight="false" outlineLevel="0" collapsed="false">
      <c r="A729" s="2" t="n">
        <v>702892000</v>
      </c>
      <c r="B729" s="2" t="s">
        <v>913</v>
      </c>
      <c r="C729" s="3"/>
      <c r="D729" s="3" t="n">
        <v>820262881</v>
      </c>
      <c r="E729" s="3" t="n">
        <f aca="false">D729-C729</f>
        <v>820262881</v>
      </c>
    </row>
    <row r="730" customFormat="false" ht="15" hidden="false" customHeight="false" outlineLevel="0" collapsed="false">
      <c r="A730" s="2" t="n">
        <v>702911000</v>
      </c>
      <c r="B730" s="2" t="s">
        <v>914</v>
      </c>
      <c r="C730" s="3"/>
      <c r="D730" s="3" t="n">
        <v>205343000</v>
      </c>
      <c r="E730" s="3" t="n">
        <f aca="false">D730-C730</f>
        <v>205343000</v>
      </c>
    </row>
    <row r="731" customFormat="false" ht="15" hidden="false" customHeight="false" outlineLevel="0" collapsed="false">
      <c r="A731" s="2" t="n">
        <v>702920000</v>
      </c>
      <c r="B731" s="2" t="s">
        <v>915</v>
      </c>
      <c r="C731" s="3"/>
      <c r="D731" s="3"/>
      <c r="E731" s="3" t="n">
        <f aca="false">D731-C731</f>
        <v>0</v>
      </c>
    </row>
    <row r="732" customFormat="false" ht="15" hidden="false" customHeight="false" outlineLevel="0" collapsed="false">
      <c r="A732" s="2" t="n">
        <v>702921000</v>
      </c>
      <c r="B732" s="2" t="s">
        <v>916</v>
      </c>
      <c r="C732" s="3"/>
      <c r="D732" s="3" t="n">
        <v>9731171</v>
      </c>
      <c r="E732" s="3" t="n">
        <f aca="false">D732-C732</f>
        <v>9731171</v>
      </c>
    </row>
    <row r="733" customFormat="false" ht="15" hidden="false" customHeight="false" outlineLevel="0" collapsed="false">
      <c r="A733" s="2" t="n">
        <v>702922000</v>
      </c>
      <c r="B733" s="2" t="s">
        <v>917</v>
      </c>
      <c r="C733" s="3"/>
      <c r="D733" s="3" t="n">
        <v>39725989</v>
      </c>
      <c r="E733" s="3" t="n">
        <f aca="false">D733-C733</f>
        <v>39725989</v>
      </c>
    </row>
    <row r="734" customFormat="false" ht="15" hidden="false" customHeight="false" outlineLevel="0" collapsed="false">
      <c r="A734" s="2" t="n">
        <v>702923000</v>
      </c>
      <c r="B734" s="2" t="s">
        <v>918</v>
      </c>
      <c r="C734" s="3"/>
      <c r="D734" s="3"/>
      <c r="E734" s="3" t="n">
        <f aca="false">D734-C734</f>
        <v>0</v>
      </c>
    </row>
    <row r="735" customFormat="false" ht="15" hidden="false" customHeight="false" outlineLevel="0" collapsed="false">
      <c r="A735" s="2" t="n">
        <v>702924000</v>
      </c>
      <c r="B735" s="2" t="s">
        <v>919</v>
      </c>
      <c r="C735" s="3"/>
      <c r="D735" s="3"/>
      <c r="E735" s="3" t="n">
        <f aca="false">D735-C735</f>
        <v>0</v>
      </c>
    </row>
    <row r="736" customFormat="false" ht="15" hidden="false" customHeight="false" outlineLevel="0" collapsed="false">
      <c r="A736" s="2" t="n">
        <v>702925000</v>
      </c>
      <c r="B736" s="2" t="s">
        <v>920</v>
      </c>
      <c r="C736" s="3"/>
      <c r="D736" s="3" t="n">
        <v>40055101</v>
      </c>
      <c r="E736" s="3" t="n">
        <f aca="false">D736-C736</f>
        <v>40055101</v>
      </c>
    </row>
    <row r="737" customFormat="false" ht="15" hidden="false" customHeight="false" outlineLevel="0" collapsed="false">
      <c r="A737" s="2" t="n">
        <v>702926000</v>
      </c>
      <c r="B737" s="2" t="s">
        <v>921</v>
      </c>
      <c r="C737" s="3"/>
      <c r="D737" s="3"/>
      <c r="E737" s="3" t="n">
        <f aca="false">D737-C737</f>
        <v>0</v>
      </c>
    </row>
    <row r="738" customFormat="false" ht="15" hidden="false" customHeight="false" outlineLevel="0" collapsed="false">
      <c r="A738" s="2" t="n">
        <v>702927000</v>
      </c>
      <c r="B738" s="2" t="s">
        <v>922</v>
      </c>
      <c r="C738" s="3"/>
      <c r="D738" s="3"/>
      <c r="E738" s="3" t="n">
        <f aca="false">D738-C738</f>
        <v>0</v>
      </c>
    </row>
    <row r="739" customFormat="false" ht="15" hidden="false" customHeight="false" outlineLevel="0" collapsed="false">
      <c r="A739" s="2" t="n">
        <v>702929000</v>
      </c>
      <c r="B739" s="2" t="s">
        <v>923</v>
      </c>
      <c r="C739" s="3"/>
      <c r="D739" s="3"/>
      <c r="E739" s="3" t="n">
        <f aca="false">D739-C739</f>
        <v>0</v>
      </c>
    </row>
    <row r="740" customFormat="false" ht="15" hidden="false" customHeight="false" outlineLevel="0" collapsed="false">
      <c r="A740" s="2" t="n">
        <v>702930000</v>
      </c>
      <c r="B740" s="2" t="s">
        <v>924</v>
      </c>
      <c r="C740" s="3"/>
      <c r="D740" s="3"/>
      <c r="E740" s="3" t="n">
        <f aca="false">D740-C740</f>
        <v>0</v>
      </c>
    </row>
    <row r="741" customFormat="false" ht="15" hidden="false" customHeight="false" outlineLevel="0" collapsed="false">
      <c r="A741" s="2" t="n">
        <v>702931000</v>
      </c>
      <c r="B741" s="2" t="s">
        <v>105</v>
      </c>
      <c r="C741" s="3"/>
      <c r="D741" s="3" t="n">
        <v>3555159499</v>
      </c>
      <c r="E741" s="3" t="n">
        <f aca="false">D741-C741</f>
        <v>3555159499</v>
      </c>
    </row>
    <row r="742" customFormat="false" ht="15" hidden="false" customHeight="false" outlineLevel="0" collapsed="false">
      <c r="A742" s="2" t="n">
        <v>702932000</v>
      </c>
      <c r="B742" s="2" t="s">
        <v>925</v>
      </c>
      <c r="C742" s="3"/>
      <c r="D742" s="3" t="n">
        <v>427100</v>
      </c>
      <c r="E742" s="3" t="n">
        <f aca="false">D742-C742</f>
        <v>427100</v>
      </c>
    </row>
    <row r="743" customFormat="false" ht="15" hidden="false" customHeight="false" outlineLevel="0" collapsed="false">
      <c r="A743" s="2" t="n">
        <v>702933000</v>
      </c>
      <c r="B743" s="2" t="s">
        <v>926</v>
      </c>
      <c r="C743" s="3"/>
      <c r="D743" s="3" t="n">
        <v>203500</v>
      </c>
      <c r="E743" s="3" t="n">
        <f aca="false">D743-C743</f>
        <v>203500</v>
      </c>
    </row>
    <row r="744" customFormat="false" ht="15" hidden="false" customHeight="false" outlineLevel="0" collapsed="false">
      <c r="A744" s="2" t="n">
        <v>702934000</v>
      </c>
      <c r="B744" s="2" t="s">
        <v>927</v>
      </c>
      <c r="C744" s="3"/>
      <c r="D744" s="3" t="n">
        <v>536142625</v>
      </c>
      <c r="E744" s="3" t="n">
        <f aca="false">D744-C744</f>
        <v>536142625</v>
      </c>
    </row>
    <row r="745" customFormat="false" ht="15" hidden="false" customHeight="false" outlineLevel="0" collapsed="false">
      <c r="A745" s="2" t="n">
        <v>702936000</v>
      </c>
      <c r="B745" s="2" t="s">
        <v>928</v>
      </c>
      <c r="C745" s="3"/>
      <c r="D745" s="3" t="n">
        <v>291117799</v>
      </c>
      <c r="E745" s="3" t="n">
        <f aca="false">D745-C745</f>
        <v>291117799</v>
      </c>
    </row>
    <row r="746" customFormat="false" ht="15" hidden="false" customHeight="false" outlineLevel="0" collapsed="false">
      <c r="A746" s="2" t="n">
        <v>702937000</v>
      </c>
      <c r="B746" s="2" t="s">
        <v>929</v>
      </c>
      <c r="C746" s="3"/>
      <c r="D746" s="3" t="n">
        <v>1317007</v>
      </c>
      <c r="E746" s="3" t="n">
        <f aca="false">D746-C746</f>
        <v>1317007</v>
      </c>
    </row>
    <row r="747" customFormat="false" ht="15" hidden="false" customHeight="false" outlineLevel="0" collapsed="false">
      <c r="A747" s="2" t="n">
        <v>702938000</v>
      </c>
      <c r="B747" s="2" t="s">
        <v>930</v>
      </c>
      <c r="C747" s="3"/>
      <c r="D747" s="3"/>
      <c r="E747" s="3" t="n">
        <f aca="false">D747-C747</f>
        <v>0</v>
      </c>
    </row>
    <row r="748" customFormat="false" ht="15" hidden="false" customHeight="false" outlineLevel="0" collapsed="false">
      <c r="A748" s="2" t="n">
        <v>702939000</v>
      </c>
      <c r="B748" s="2" t="s">
        <v>904</v>
      </c>
      <c r="C748" s="3"/>
      <c r="D748" s="3" t="n">
        <v>264315358</v>
      </c>
      <c r="E748" s="3" t="n">
        <f aca="false">D748-C748</f>
        <v>264315358</v>
      </c>
    </row>
    <row r="749" customFormat="false" ht="15" hidden="false" customHeight="false" outlineLevel="0" collapsed="false">
      <c r="A749" s="2" t="n">
        <v>703100000</v>
      </c>
      <c r="B749" s="2" t="s">
        <v>931</v>
      </c>
      <c r="C749" s="3"/>
      <c r="D749" s="3" t="n">
        <v>24139725</v>
      </c>
      <c r="E749" s="3" t="n">
        <f aca="false">D749-C749</f>
        <v>24139725</v>
      </c>
    </row>
    <row r="750" customFormat="false" ht="15" hidden="false" customHeight="false" outlineLevel="0" collapsed="false">
      <c r="A750" s="2" t="n">
        <v>704102000</v>
      </c>
      <c r="B750" s="2" t="s">
        <v>932</v>
      </c>
      <c r="C750" s="3"/>
      <c r="D750" s="3" t="n">
        <v>73892698</v>
      </c>
      <c r="E750" s="3" t="n">
        <f aca="false">D750-C750</f>
        <v>73892698</v>
      </c>
    </row>
    <row r="751" customFormat="false" ht="15" hidden="false" customHeight="false" outlineLevel="0" collapsed="false">
      <c r="A751" s="2" t="n">
        <v>707230000</v>
      </c>
      <c r="B751" s="2" t="s">
        <v>933</v>
      </c>
      <c r="C751" s="3"/>
      <c r="D751" s="3" t="n">
        <v>6901135</v>
      </c>
      <c r="E751" s="3" t="n">
        <f aca="false">D751-C751</f>
        <v>6901135</v>
      </c>
    </row>
    <row r="752" customFormat="false" ht="15" hidden="false" customHeight="false" outlineLevel="0" collapsed="false">
      <c r="A752" s="2" t="n">
        <v>707600000</v>
      </c>
      <c r="B752" s="2" t="s">
        <v>934</v>
      </c>
      <c r="C752" s="3"/>
      <c r="D752" s="3"/>
      <c r="E752" s="3" t="n">
        <f aca="false">D752-C752</f>
        <v>0</v>
      </c>
    </row>
    <row r="753" customFormat="false" ht="15" hidden="false" customHeight="false" outlineLevel="0" collapsed="false">
      <c r="A753" s="2" t="n">
        <v>708110000</v>
      </c>
      <c r="B753" s="2" t="s">
        <v>935</v>
      </c>
      <c r="C753" s="3"/>
      <c r="D753" s="3" t="n">
        <v>525388</v>
      </c>
      <c r="E753" s="3" t="n">
        <f aca="false">D753-C753</f>
        <v>525388</v>
      </c>
    </row>
    <row r="754" customFormat="false" ht="15" hidden="false" customHeight="false" outlineLevel="0" collapsed="false">
      <c r="A754" s="2" t="n">
        <v>708120000</v>
      </c>
      <c r="B754" s="2" t="s">
        <v>936</v>
      </c>
      <c r="C754" s="3"/>
      <c r="D754" s="3" t="n">
        <v>266098</v>
      </c>
      <c r="E754" s="3" t="n">
        <f aca="false">D754-C754</f>
        <v>266098</v>
      </c>
    </row>
    <row r="755" customFormat="false" ht="15" hidden="false" customHeight="false" outlineLevel="0" collapsed="false">
      <c r="A755" s="2" t="n">
        <v>708130000</v>
      </c>
      <c r="B755" s="2" t="s">
        <v>937</v>
      </c>
      <c r="C755" s="3"/>
      <c r="D755" s="3" t="n">
        <v>7720949</v>
      </c>
      <c r="E755" s="3" t="n">
        <f aca="false">D755-C755</f>
        <v>7720949</v>
      </c>
    </row>
    <row r="756" customFormat="false" ht="15" hidden="false" customHeight="false" outlineLevel="0" collapsed="false">
      <c r="A756" s="2" t="n">
        <v>708131000</v>
      </c>
      <c r="B756" s="2" t="s">
        <v>938</v>
      </c>
      <c r="C756" s="3"/>
      <c r="D756" s="3" t="n">
        <v>134290851</v>
      </c>
      <c r="E756" s="3" t="n">
        <f aca="false">D756-C756</f>
        <v>134290851</v>
      </c>
    </row>
    <row r="757" customFormat="false" ht="15" hidden="false" customHeight="false" outlineLevel="0" collapsed="false">
      <c r="A757" s="2" t="n">
        <v>708140000</v>
      </c>
      <c r="B757" s="2" t="s">
        <v>939</v>
      </c>
      <c r="C757" s="3"/>
      <c r="D757" s="3"/>
      <c r="E757" s="3" t="n">
        <f aca="false">D757-C757</f>
        <v>0</v>
      </c>
    </row>
    <row r="758" customFormat="false" ht="15" hidden="false" customHeight="false" outlineLevel="0" collapsed="false">
      <c r="A758" s="2" t="n">
        <v>708150000</v>
      </c>
      <c r="B758" s="2" t="s">
        <v>940</v>
      </c>
      <c r="C758" s="3"/>
      <c r="D758" s="3" t="n">
        <v>24689830</v>
      </c>
      <c r="E758" s="3" t="n">
        <f aca="false">D758-C758</f>
        <v>24689830</v>
      </c>
    </row>
    <row r="759" customFormat="false" ht="15" hidden="false" customHeight="false" outlineLevel="0" collapsed="false">
      <c r="A759" s="2" t="n">
        <v>708160000</v>
      </c>
      <c r="B759" s="2" t="s">
        <v>941</v>
      </c>
      <c r="C759" s="3"/>
      <c r="D759" s="3" t="n">
        <v>25621113</v>
      </c>
      <c r="E759" s="3" t="n">
        <f aca="false">D759-C759</f>
        <v>25621113</v>
      </c>
    </row>
    <row r="760" customFormat="false" ht="15" hidden="false" customHeight="false" outlineLevel="0" collapsed="false">
      <c r="A760" s="2" t="n">
        <v>708170000</v>
      </c>
      <c r="B760" s="2" t="s">
        <v>942</v>
      </c>
      <c r="C760" s="3"/>
      <c r="D760" s="3" t="n">
        <v>136969190</v>
      </c>
      <c r="E760" s="3" t="n">
        <f aca="false">D760-C760</f>
        <v>136969190</v>
      </c>
    </row>
    <row r="761" customFormat="false" ht="15" hidden="false" customHeight="false" outlineLevel="0" collapsed="false">
      <c r="A761" s="2" t="n">
        <v>708180000</v>
      </c>
      <c r="B761" s="2" t="s">
        <v>943</v>
      </c>
      <c r="C761" s="3"/>
      <c r="D761" s="3" t="n">
        <v>8706</v>
      </c>
      <c r="E761" s="3" t="n">
        <f aca="false">D761-C761</f>
        <v>8706</v>
      </c>
    </row>
    <row r="762" customFormat="false" ht="15" hidden="false" customHeight="false" outlineLevel="0" collapsed="false">
      <c r="A762" s="2" t="n">
        <v>708190000</v>
      </c>
      <c r="B762" s="2" t="s">
        <v>944</v>
      </c>
      <c r="C762" s="3"/>
      <c r="D762" s="3"/>
      <c r="E762" s="3" t="n">
        <f aca="false">D762-C762</f>
        <v>0</v>
      </c>
    </row>
    <row r="763" customFormat="false" ht="15" hidden="false" customHeight="false" outlineLevel="0" collapsed="false">
      <c r="A763" s="2" t="n">
        <v>725120000</v>
      </c>
      <c r="B763" s="2" t="s">
        <v>945</v>
      </c>
      <c r="C763" s="3"/>
      <c r="D763" s="3" t="n">
        <v>6619000</v>
      </c>
      <c r="E763" s="3" t="n">
        <f aca="false">D763-C763</f>
        <v>6619000</v>
      </c>
    </row>
    <row r="764" customFormat="false" ht="15" hidden="false" customHeight="false" outlineLevel="0" collapsed="false">
      <c r="A764" s="2" t="n">
        <v>727000000</v>
      </c>
      <c r="B764" s="2" t="s">
        <v>946</v>
      </c>
      <c r="C764" s="3"/>
      <c r="D764" s="3" t="n">
        <v>56740600</v>
      </c>
      <c r="E764" s="3" t="n">
        <f aca="false">D764-C764</f>
        <v>56740600</v>
      </c>
    </row>
    <row r="765" customFormat="false" ht="15" hidden="false" customHeight="false" outlineLevel="0" collapsed="false">
      <c r="A765" s="2" t="n">
        <v>728100000</v>
      </c>
      <c r="B765" s="2" t="s">
        <v>947</v>
      </c>
      <c r="C765" s="3"/>
      <c r="D765" s="3" t="n">
        <v>15760820242</v>
      </c>
      <c r="E765" s="3" t="n">
        <f aca="false">D765-C765</f>
        <v>15760820242</v>
      </c>
    </row>
    <row r="766" customFormat="false" ht="15" hidden="false" customHeight="false" outlineLevel="0" collapsed="false">
      <c r="A766" s="2" t="n">
        <v>728120000</v>
      </c>
      <c r="B766" s="2" t="s">
        <v>948</v>
      </c>
      <c r="C766" s="3"/>
      <c r="D766" s="3" t="n">
        <v>146617851</v>
      </c>
      <c r="E766" s="3" t="n">
        <f aca="false">D766-C766</f>
        <v>146617851</v>
      </c>
    </row>
    <row r="767" customFormat="false" ht="15" hidden="false" customHeight="false" outlineLevel="0" collapsed="false">
      <c r="A767" s="2" t="n">
        <v>728200000</v>
      </c>
      <c r="B767" s="2" t="s">
        <v>949</v>
      </c>
      <c r="C767" s="3"/>
      <c r="D767" s="3"/>
      <c r="E767" s="3" t="n">
        <f aca="false">D767-C767</f>
        <v>0</v>
      </c>
    </row>
    <row r="768" customFormat="false" ht="15" hidden="false" customHeight="false" outlineLevel="0" collapsed="false">
      <c r="A768" s="2" t="n">
        <v>729000000</v>
      </c>
      <c r="B768" s="2" t="s">
        <v>950</v>
      </c>
      <c r="C768" s="3"/>
      <c r="D768" s="3" t="n">
        <v>32183000</v>
      </c>
      <c r="E768" s="3" t="n">
        <f aca="false">D768-C768</f>
        <v>32183000</v>
      </c>
    </row>
    <row r="769" customFormat="false" ht="15" hidden="false" customHeight="false" outlineLevel="0" collapsed="false">
      <c r="A769" s="2" t="n">
        <v>729100000</v>
      </c>
      <c r="B769" s="2" t="s">
        <v>951</v>
      </c>
      <c r="C769" s="3"/>
      <c r="D769" s="3" t="n">
        <v>910390851</v>
      </c>
      <c r="E769" s="3" t="n">
        <f aca="false">D769-C769</f>
        <v>910390851</v>
      </c>
    </row>
    <row r="770" customFormat="false" ht="15" hidden="false" customHeight="false" outlineLevel="0" collapsed="false">
      <c r="A770" s="2" t="n">
        <v>729200000</v>
      </c>
      <c r="B770" s="2" t="s">
        <v>952</v>
      </c>
      <c r="C770" s="3"/>
      <c r="D770" s="3" t="n">
        <v>45087800</v>
      </c>
      <c r="E770" s="3" t="n">
        <f aca="false">D770-C770</f>
        <v>45087800</v>
      </c>
    </row>
    <row r="771" customFormat="false" ht="15" hidden="false" customHeight="false" outlineLevel="0" collapsed="false">
      <c r="A771" s="2" t="n">
        <v>729230000</v>
      </c>
      <c r="B771" s="2" t="s">
        <v>953</v>
      </c>
      <c r="C771" s="3"/>
      <c r="D771" s="3" t="n">
        <v>5471000</v>
      </c>
      <c r="E771" s="3" t="n">
        <f aca="false">D771-C771</f>
        <v>5471000</v>
      </c>
    </row>
    <row r="772" customFormat="false" ht="15" hidden="false" customHeight="false" outlineLevel="0" collapsed="false">
      <c r="A772" s="2" t="n">
        <v>729240000</v>
      </c>
      <c r="B772" s="2" t="s">
        <v>954</v>
      </c>
      <c r="C772" s="3"/>
      <c r="D772" s="3" t="n">
        <v>435000</v>
      </c>
      <c r="E772" s="3" t="n">
        <f aca="false">D772-C772</f>
        <v>435000</v>
      </c>
    </row>
    <row r="773" customFormat="false" ht="15" hidden="false" customHeight="false" outlineLevel="0" collapsed="false">
      <c r="A773" s="2" t="n">
        <v>729250000</v>
      </c>
      <c r="B773" s="2" t="s">
        <v>955</v>
      </c>
      <c r="C773" s="3"/>
      <c r="D773" s="3" t="n">
        <v>905000</v>
      </c>
      <c r="E773" s="3" t="n">
        <f aca="false">D773-C773</f>
        <v>905000</v>
      </c>
    </row>
    <row r="774" customFormat="false" ht="15" hidden="false" customHeight="false" outlineLevel="0" collapsed="false">
      <c r="A774" s="2" t="n">
        <v>729260000</v>
      </c>
      <c r="B774" s="2" t="s">
        <v>956</v>
      </c>
      <c r="C774" s="3"/>
      <c r="D774" s="3" t="n">
        <v>1990000</v>
      </c>
      <c r="E774" s="3" t="n">
        <f aca="false">D774-C774</f>
        <v>1990000</v>
      </c>
    </row>
    <row r="775" customFormat="false" ht="15" hidden="false" customHeight="false" outlineLevel="0" collapsed="false">
      <c r="A775" s="2" t="n">
        <v>740000000</v>
      </c>
      <c r="B775" s="2" t="s">
        <v>957</v>
      </c>
      <c r="C775" s="3"/>
      <c r="D775" s="3"/>
      <c r="E775" s="3" t="n">
        <f aca="false">D775-C775</f>
        <v>0</v>
      </c>
    </row>
    <row r="776" customFormat="false" ht="15" hidden="false" customHeight="false" outlineLevel="0" collapsed="false">
      <c r="A776" s="2" t="n">
        <v>764120000</v>
      </c>
      <c r="B776" s="2" t="s">
        <v>958</v>
      </c>
      <c r="C776" s="3"/>
      <c r="D776" s="3" t="n">
        <v>1900656257</v>
      </c>
      <c r="E776" s="3" t="n">
        <f aca="false">D776-C776</f>
        <v>1900656257</v>
      </c>
    </row>
    <row r="777" customFormat="false" ht="15" hidden="false" customHeight="false" outlineLevel="0" collapsed="false">
      <c r="A777" s="2" t="n">
        <v>764121000</v>
      </c>
      <c r="B777" s="2" t="s">
        <v>959</v>
      </c>
      <c r="C777" s="3"/>
      <c r="D777" s="3" t="n">
        <v>13832729</v>
      </c>
      <c r="E777" s="3" t="n">
        <f aca="false">D777-C777</f>
        <v>13832729</v>
      </c>
    </row>
    <row r="778" customFormat="false" ht="15" hidden="false" customHeight="false" outlineLevel="0" collapsed="false">
      <c r="A778" s="2" t="n">
        <v>764200000</v>
      </c>
      <c r="B778" s="2" t="s">
        <v>960</v>
      </c>
      <c r="C778" s="3"/>
      <c r="D778" s="3" t="n">
        <v>1866774724</v>
      </c>
      <c r="E778" s="3" t="n">
        <f aca="false">D778-C778</f>
        <v>1866774724</v>
      </c>
    </row>
    <row r="779" customFormat="false" ht="15" hidden="false" customHeight="false" outlineLevel="0" collapsed="false">
      <c r="A779" s="2" t="n">
        <v>764210000</v>
      </c>
      <c r="B779" s="2" t="s">
        <v>961</v>
      </c>
      <c r="C779" s="3"/>
      <c r="D779" s="3" t="n">
        <v>626433322</v>
      </c>
      <c r="E779" s="3" t="n">
        <f aca="false">D779-C779</f>
        <v>626433322</v>
      </c>
    </row>
    <row r="780" customFormat="false" ht="15" hidden="false" customHeight="false" outlineLevel="0" collapsed="false">
      <c r="A780" s="2" t="n">
        <v>764300000</v>
      </c>
      <c r="B780" s="2" t="s">
        <v>962</v>
      </c>
      <c r="C780" s="3"/>
      <c r="D780" s="3" t="n">
        <v>6677693559</v>
      </c>
      <c r="E780" s="3" t="n">
        <f aca="false">D780-C780</f>
        <v>6677693559</v>
      </c>
    </row>
    <row r="781" customFormat="false" ht="15" hidden="false" customHeight="false" outlineLevel="0" collapsed="false">
      <c r="A781" s="2" t="n">
        <v>764310000</v>
      </c>
      <c r="B781" s="2" t="s">
        <v>963</v>
      </c>
      <c r="C781" s="3"/>
      <c r="D781" s="3" t="n">
        <v>115919068</v>
      </c>
      <c r="E781" s="3" t="n">
        <f aca="false">D781-C781</f>
        <v>115919068</v>
      </c>
    </row>
    <row r="782" customFormat="false" ht="15" hidden="false" customHeight="false" outlineLevel="0" collapsed="false">
      <c r="A782" s="2" t="n">
        <v>767000000</v>
      </c>
      <c r="B782" s="2" t="s">
        <v>964</v>
      </c>
      <c r="C782" s="3"/>
      <c r="D782" s="3"/>
      <c r="E782" s="3" t="n">
        <f aca="false">D782-C782</f>
        <v>0</v>
      </c>
    </row>
    <row r="783" customFormat="false" ht="15" hidden="false" customHeight="false" outlineLevel="0" collapsed="false">
      <c r="A783" s="2" t="n">
        <v>767100000</v>
      </c>
      <c r="B783" s="2" t="s">
        <v>965</v>
      </c>
      <c r="C783" s="3"/>
      <c r="D783" s="3"/>
      <c r="E783" s="3" t="n">
        <f aca="false">D783-C783</f>
        <v>0</v>
      </c>
    </row>
    <row r="784" customFormat="false" ht="15" hidden="false" customHeight="false" outlineLevel="0" collapsed="false">
      <c r="A784" s="2" t="n">
        <v>767200000</v>
      </c>
      <c r="B784" s="2" t="s">
        <v>966</v>
      </c>
      <c r="C784" s="3"/>
      <c r="D784" s="3"/>
      <c r="E784" s="3" t="n">
        <f aca="false">D784-C784</f>
        <v>0</v>
      </c>
    </row>
    <row r="785" customFormat="false" ht="15" hidden="false" customHeight="false" outlineLevel="0" collapsed="false">
      <c r="A785" s="2" t="n">
        <v>769000000</v>
      </c>
      <c r="B785" s="2" t="s">
        <v>967</v>
      </c>
      <c r="C785" s="3"/>
      <c r="D785" s="3" t="n">
        <v>2425646123</v>
      </c>
      <c r="E785" s="3" t="n">
        <f aca="false">D785-C785</f>
        <v>2425646123</v>
      </c>
    </row>
    <row r="786" customFormat="false" ht="15" hidden="false" customHeight="false" outlineLevel="0" collapsed="false">
      <c r="A786" s="2" t="n">
        <v>771400000</v>
      </c>
      <c r="B786" s="2" t="s">
        <v>968</v>
      </c>
      <c r="C786" s="3"/>
      <c r="D786" s="3"/>
      <c r="E786" s="3" t="n">
        <f aca="false">D786-C786</f>
        <v>0</v>
      </c>
    </row>
    <row r="787" customFormat="false" ht="15" hidden="false" customHeight="false" outlineLevel="0" collapsed="false">
      <c r="A787" s="2" t="n">
        <v>771600000</v>
      </c>
      <c r="B787" s="2" t="s">
        <v>969</v>
      </c>
      <c r="C787" s="3"/>
      <c r="D787" s="3"/>
      <c r="E787" s="3" t="n">
        <f aca="false">D787-C787</f>
        <v>0</v>
      </c>
    </row>
    <row r="788" customFormat="false" ht="15" hidden="false" customHeight="false" outlineLevel="0" collapsed="false">
      <c r="A788" s="2" t="n">
        <v>771700000</v>
      </c>
      <c r="B788" s="2" t="s">
        <v>970</v>
      </c>
      <c r="C788" s="3"/>
      <c r="D788" s="3"/>
      <c r="E788" s="3" t="n">
        <f aca="false">D788-C788</f>
        <v>0</v>
      </c>
    </row>
    <row r="789" customFormat="false" ht="15" hidden="false" customHeight="false" outlineLevel="0" collapsed="false">
      <c r="A789" s="2" t="n">
        <v>771900000</v>
      </c>
      <c r="B789" s="2" t="s">
        <v>971</v>
      </c>
      <c r="C789" s="3"/>
      <c r="D789" s="3" t="n">
        <v>2190751563</v>
      </c>
      <c r="E789" s="3" t="n">
        <f aca="false">D789-C789</f>
        <v>2190751563</v>
      </c>
    </row>
    <row r="790" customFormat="false" ht="15" hidden="false" customHeight="false" outlineLevel="0" collapsed="false">
      <c r="A790" s="2" t="n">
        <v>772300000</v>
      </c>
      <c r="B790" s="2" t="s">
        <v>972</v>
      </c>
      <c r="C790" s="3"/>
      <c r="D790" s="3" t="n">
        <v>20816927</v>
      </c>
      <c r="E790" s="3" t="n">
        <f aca="false">D790-C790</f>
        <v>20816927</v>
      </c>
    </row>
    <row r="791" customFormat="false" ht="15" hidden="false" customHeight="false" outlineLevel="0" collapsed="false">
      <c r="A791" s="2" t="n">
        <v>914910000</v>
      </c>
      <c r="B791" s="2" t="s">
        <v>973</v>
      </c>
      <c r="C791" s="3"/>
      <c r="D791" s="3" t="n">
        <v>13149302597</v>
      </c>
      <c r="E791" s="3" t="n">
        <f aca="false">D791-C791</f>
        <v>13149302597</v>
      </c>
    </row>
    <row r="792" customFormat="false" ht="15" hidden="false" customHeight="false" outlineLevel="0" collapsed="false">
      <c r="A792" s="2" t="n">
        <v>914920000</v>
      </c>
      <c r="B792" s="2" t="s">
        <v>974</v>
      </c>
      <c r="C792" s="3"/>
      <c r="D792" s="3" t="n">
        <v>136071450341</v>
      </c>
      <c r="E792" s="3" t="n">
        <f aca="false">D792-C792</f>
        <v>136071450341</v>
      </c>
    </row>
    <row r="793" customFormat="false" ht="15" hidden="false" customHeight="false" outlineLevel="0" collapsed="false">
      <c r="A793" s="2" t="n">
        <v>914930000</v>
      </c>
      <c r="B793" s="2" t="s">
        <v>975</v>
      </c>
      <c r="C793" s="3"/>
      <c r="D793" s="3" t="n">
        <v>83966163800</v>
      </c>
      <c r="E793" s="3" t="n">
        <f aca="false">D793-C793</f>
        <v>83966163800</v>
      </c>
    </row>
    <row r="794" customFormat="false" ht="15" hidden="false" customHeight="false" outlineLevel="0" collapsed="false">
      <c r="A794" s="2" t="n">
        <v>914940000</v>
      </c>
      <c r="B794" s="2" t="s">
        <v>976</v>
      </c>
      <c r="C794" s="3"/>
      <c r="D794" s="3" t="n">
        <v>16749800426</v>
      </c>
      <c r="E794" s="3" t="n">
        <f aca="false">D794-C794</f>
        <v>16749800426</v>
      </c>
    </row>
    <row r="795" customFormat="false" ht="15" hidden="false" customHeight="false" outlineLevel="0" collapsed="false">
      <c r="A795" s="2" t="n">
        <v>914990000</v>
      </c>
      <c r="B795" s="2" t="s">
        <v>977</v>
      </c>
      <c r="C795" s="3"/>
      <c r="D795" s="3" t="n">
        <v>2201802162543</v>
      </c>
      <c r="E795" s="3" t="n">
        <f aca="false">D795-C795</f>
        <v>2201802162543</v>
      </c>
    </row>
    <row r="796" customFormat="false" ht="15" hidden="false" customHeight="false" outlineLevel="0" collapsed="false">
      <c r="A796" s="2" t="n">
        <v>966100000</v>
      </c>
      <c r="B796" s="2" t="s">
        <v>978</v>
      </c>
      <c r="C796" s="3" t="n">
        <v>2753633301</v>
      </c>
      <c r="D796" s="3"/>
      <c r="E796" s="3" t="n">
        <f aca="false">D796-C796</f>
        <v>-2753633301</v>
      </c>
    </row>
    <row r="797" customFormat="false" ht="15" hidden="false" customHeight="false" outlineLevel="0" collapsed="false">
      <c r="A797" s="2" t="n">
        <v>966200000</v>
      </c>
      <c r="B797" s="2" t="s">
        <v>979</v>
      </c>
      <c r="C797" s="3"/>
      <c r="D797" s="3" t="n">
        <v>2753633301</v>
      </c>
      <c r="E797" s="3" t="n">
        <f aca="false">D797-C797</f>
        <v>2753633301</v>
      </c>
    </row>
    <row r="798" customFormat="false" ht="15" hidden="false" customHeight="false" outlineLevel="0" collapsed="false">
      <c r="A798" s="2" t="n">
        <v>981000000</v>
      </c>
      <c r="B798" s="2" t="s">
        <v>980</v>
      </c>
      <c r="C798" s="3" t="n">
        <v>2451738879707</v>
      </c>
      <c r="D798" s="3"/>
      <c r="E798" s="3" t="n">
        <f aca="false">D798-C798</f>
        <v>-2451738879707</v>
      </c>
    </row>
    <row r="799" customFormat="false" ht="15" hidden="false" customHeight="false" outlineLevel="0" collapsed="false">
      <c r="A799" s="2" t="n">
        <v>989000000</v>
      </c>
      <c r="B799" s="2" t="s">
        <v>981</v>
      </c>
      <c r="C799" s="3"/>
      <c r="D799" s="3" t="n">
        <v>4</v>
      </c>
      <c r="E799" s="3" t="n">
        <f aca="false">D799-C799</f>
        <v>4</v>
      </c>
    </row>
    <row r="800" customFormat="false" ht="15" hidden="false" customHeight="false" outlineLevel="0" collapsed="false">
      <c r="A800" s="2" t="n">
        <v>990000000</v>
      </c>
      <c r="B800" s="2" t="s">
        <v>982</v>
      </c>
      <c r="C800" s="3" t="n">
        <v>4</v>
      </c>
      <c r="D800" s="3"/>
      <c r="E800" s="3" t="n">
        <f aca="false">D800-C800</f>
        <v>-4</v>
      </c>
    </row>
    <row r="802" customFormat="false" ht="15" hidden="false" customHeight="false" outlineLevel="0" collapsed="false">
      <c r="A802" s="4" t="s">
        <v>983</v>
      </c>
      <c r="B802" s="4"/>
      <c r="C802" s="4"/>
      <c r="D802" s="4"/>
      <c r="E802" s="4"/>
    </row>
  </sheetData>
  <mergeCells count="1">
    <mergeCell ref="A802:E8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2026-09-09T10:46:55Z</dcterms:created>
  <dc:creator>openpyxl</dc:creator>
  <dc:description/>
  <dc:language>en-US</dc:language>
  <cp:lastModifiedBy/>
  <dcterms:modified xsi:type="dcterms:W3CDTF">2026-09-09T10:46:55Z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